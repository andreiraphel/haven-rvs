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UTATION" sheetId="1" r:id="rId5"/>
  </sheets>
  <definedNames/>
  <calcPr/>
</workbook>
</file>

<file path=xl/sharedStrings.xml><?xml version="1.0" encoding="utf-8"?>
<sst xmlns="http://schemas.openxmlformats.org/spreadsheetml/2006/main" count="235" uniqueCount="198">
  <si>
    <t>Building Name:</t>
  </si>
  <si>
    <t>DUMAGAN HOUSE</t>
  </si>
  <si>
    <t>ADDITIONAL REMARKS:</t>
  </si>
  <si>
    <t>Building Unique Code:</t>
  </si>
  <si>
    <t>BHL-D1-001</t>
  </si>
  <si>
    <t>Address:</t>
  </si>
  <si>
    <t>ALBURQUERQUE, BOHOL</t>
  </si>
  <si>
    <t xml:space="preserve">          Walls are destroyed due to Typhoon Odette in 2021. They replaced it with a net as an alternative. Some wooden columns are deteriorating also. Empty spaces are seen in their second floor due to the weak capacity of the floors. All their things are kept and secured in the ground level.</t>
  </si>
  <si>
    <t>Coordinates:</t>
  </si>
  <si>
    <t>9.6081665, 123.9658806</t>
  </si>
  <si>
    <t>Building Type:</t>
  </si>
  <si>
    <t>WOODEN HOUSE</t>
  </si>
  <si>
    <t>Building Use:</t>
  </si>
  <si>
    <t>RESIDENTIAL HOUSE</t>
  </si>
  <si>
    <t>Year Built:</t>
  </si>
  <si>
    <t>Number of Stories:</t>
  </si>
  <si>
    <t>2 STORIES HIGH</t>
  </si>
  <si>
    <r>
      <rPr>
        <rFont val="Calibri"/>
        <b/>
        <color theme="1"/>
        <sz val="11.0"/>
      </rPr>
      <t>GENERAL INSTRUCTION:</t>
    </r>
    <r>
      <rPr>
        <rFont val="Calibri"/>
        <color theme="1"/>
        <sz val="11.0"/>
      </rPr>
      <t xml:space="preserve"> Put the appropriate score in the cells designated. Use another sheet of paper for the photo of the historical house.</t>
    </r>
  </si>
  <si>
    <t>HAZARD INDICATORS</t>
  </si>
  <si>
    <t>THREAT APPLICATION</t>
  </si>
  <si>
    <t>Low (1)</t>
  </si>
  <si>
    <t>Moderate (2)</t>
  </si>
  <si>
    <t>High (3)</t>
  </si>
  <si>
    <t>Weight</t>
  </si>
  <si>
    <t>Rating</t>
  </si>
  <si>
    <t>Total Rating</t>
  </si>
  <si>
    <t>COMPUTATION:</t>
  </si>
  <si>
    <t>Seismic</t>
  </si>
  <si>
    <t>Wind</t>
  </si>
  <si>
    <t>Flood</t>
  </si>
  <si>
    <r>
      <rPr>
        <rFont val="Calibri"/>
        <color theme="1"/>
        <sz val="11.0"/>
      </rPr>
      <t xml:space="preserve">1. </t>
    </r>
    <r>
      <rPr>
        <rFont val="Calibri"/>
        <b/>
        <color rgb="FFFF0000"/>
        <sz val="11.0"/>
      </rPr>
      <t>Score</t>
    </r>
    <r>
      <rPr>
        <rFont val="Calibri"/>
        <color theme="1"/>
        <sz val="11.0"/>
      </rPr>
      <t xml:space="preserve"> (Low-1, Moderate-2, High-3)</t>
    </r>
    <r>
      <rPr>
        <rFont val="Calibri"/>
        <b/>
        <color theme="1"/>
        <sz val="11.0"/>
      </rPr>
      <t xml:space="preserve"> </t>
    </r>
    <r>
      <rPr>
        <rFont val="Calibri"/>
        <b/>
        <color rgb="FFFF0000"/>
        <sz val="11.0"/>
      </rPr>
      <t>X</t>
    </r>
    <r>
      <rPr>
        <rFont val="Calibri"/>
        <color rgb="FFFF0000"/>
        <sz val="11.0"/>
      </rPr>
      <t xml:space="preserve"> </t>
    </r>
    <r>
      <rPr>
        <rFont val="Calibri"/>
        <b/>
        <color rgb="FFFF0000"/>
        <sz val="11.0"/>
      </rPr>
      <t>weight= Rating</t>
    </r>
    <r>
      <rPr>
        <rFont val="Calibri"/>
        <color theme="1"/>
        <sz val="11.0"/>
      </rPr>
      <t xml:space="preserve"> (indicated in blue or green)</t>
    </r>
  </si>
  <si>
    <t>SEISMIC INDICATORS</t>
  </si>
  <si>
    <t>A1.1 PHIVOLCS EARTHQUAKE INTENSITY SCALE (PEIS)</t>
  </si>
  <si>
    <t>NOTE: The total sum of the weight in every dark gray or light gray indicated must be equal to 1.00. The weight is obtained by another computation based on the expert's judgement.</t>
  </si>
  <si>
    <t>What is the possible intensity generated from the ground shaking event?</t>
  </si>
  <si>
    <r>
      <rPr>
        <rFont val="Calibri"/>
        <color theme="1"/>
        <sz val="11.0"/>
      </rPr>
      <t>2.</t>
    </r>
    <r>
      <rPr>
        <rFont val="Calibri"/>
        <b/>
        <color rgb="FFFF0000"/>
        <sz val="11.0"/>
      </rPr>
      <t xml:space="preserve"> Average of all Rating</t>
    </r>
    <r>
      <rPr>
        <rFont val="Calibri"/>
        <color theme="1"/>
        <sz val="11.0"/>
      </rPr>
      <t xml:space="preserve"> (per green or blue)</t>
    </r>
    <r>
      <rPr>
        <rFont val="Calibri"/>
        <b/>
        <color rgb="FFFF0000"/>
        <sz val="11.0"/>
      </rPr>
      <t>= Total Rating</t>
    </r>
    <r>
      <rPr>
        <rFont val="Calibri"/>
        <b/>
        <color theme="1"/>
        <sz val="11.0"/>
      </rPr>
      <t xml:space="preserve"> </t>
    </r>
    <r>
      <rPr>
        <rFont val="Calibri"/>
        <color theme="1"/>
        <sz val="11.0"/>
      </rPr>
      <t>(indicated in yellow)</t>
    </r>
  </si>
  <si>
    <t>Low (Intensity IV and below) ; Moderate (Intensity V to Intensity VI) ; High (Intensity VII and above)</t>
  </si>
  <si>
    <r>
      <rPr>
        <rFont val="Calibri"/>
        <color theme="1"/>
        <sz val="11.0"/>
      </rPr>
      <t xml:space="preserve">3A. </t>
    </r>
    <r>
      <rPr>
        <rFont val="Calibri"/>
        <b/>
        <color rgb="FFFF0000"/>
        <sz val="11.0"/>
      </rPr>
      <t>Average of all Total Rating under Hazard Indicator= Hazard Rating</t>
    </r>
  </si>
  <si>
    <t>A1.2 FAULT DISTANCE</t>
  </si>
  <si>
    <r>
      <rPr>
        <rFont val="Calibri"/>
        <color theme="1"/>
        <sz val="11.0"/>
      </rPr>
      <t xml:space="preserve">3B. </t>
    </r>
    <r>
      <rPr>
        <rFont val="Calibri"/>
        <b/>
        <color rgb="FFFF0000"/>
        <sz val="11.0"/>
      </rPr>
      <t>Average of all Total Rating under Exposure Indicator= Exposure Rating</t>
    </r>
  </si>
  <si>
    <t>How far is the nearest fault into the historical house?</t>
  </si>
  <si>
    <r>
      <rPr>
        <rFont val="Calibri"/>
        <color theme="1"/>
        <sz val="11.0"/>
      </rPr>
      <t xml:space="preserve">3C. </t>
    </r>
    <r>
      <rPr>
        <rFont val="Calibri"/>
        <b/>
        <color rgb="FFFF0000"/>
        <sz val="11.0"/>
      </rPr>
      <t>Average of all Total Rating under Vulnerability Indicator= Vulnerability Rating</t>
    </r>
  </si>
  <si>
    <t>Low (d&gt;10 km) ; Moderate (5&lt;d≤10 km) ; High (d≤5 km)</t>
  </si>
  <si>
    <r>
      <rPr>
        <rFont val="Calibri"/>
        <color theme="1"/>
        <sz val="11.0"/>
      </rPr>
      <t xml:space="preserve">4. </t>
    </r>
    <r>
      <rPr>
        <rFont val="Calibri"/>
        <b/>
        <color rgb="FFFF0000"/>
        <sz val="11.0"/>
      </rPr>
      <t>Hazard Rating X Exposure Rating X Vulnerability Rating= Risk Rating</t>
    </r>
  </si>
  <si>
    <t>A1.3 SEISMIC SOURCE TYPE</t>
  </si>
  <si>
    <r>
      <rPr>
        <rFont val="Calibri"/>
        <color theme="1"/>
        <sz val="11.0"/>
      </rPr>
      <t xml:space="preserve">5. </t>
    </r>
    <r>
      <rPr>
        <rFont val="Calibri"/>
        <b/>
        <color rgb="FFFF0000"/>
        <sz val="11.0"/>
      </rPr>
      <t>(Risk Rating / 27) X 10= Building Risk Index</t>
    </r>
  </si>
  <si>
    <t>What is the maximum moment magnitude generated in the nearest fault?</t>
  </si>
  <si>
    <t>6. Every Building Risk Index has its Risk Description</t>
  </si>
  <si>
    <t>Low (M&lt;6.5) ; Moderate (6.5≤M&lt;7.0) ; High (7.0≤M≤8.4)</t>
  </si>
  <si>
    <t>NOTE: For further explanation of the formula, just see the computations and derivation at the end of every questionnaire (indicated in orange).</t>
  </si>
  <si>
    <t>A1.4 GEOLOGICAL CHARACTERISTICS</t>
  </si>
  <si>
    <t>What is the likelihood of a structure to experience potential liquefaction?</t>
  </si>
  <si>
    <t>Low (Low Susceptibility) ; Moderate (Moderate Susceptibility) ; High (High Susceptibility)</t>
  </si>
  <si>
    <t>WIND INDICATORS</t>
  </si>
  <si>
    <t>A2.1 BASIC WIND SPEED</t>
  </si>
  <si>
    <t>What is the basic wind speed of the location based on NSCP 2015?</t>
  </si>
  <si>
    <t>Low (225 kph or below) ; Moderate (226 kph- 279 kph) ; High (280 kph and above)</t>
  </si>
  <si>
    <t>A2.2 BUILDING VICINITY</t>
  </si>
  <si>
    <t>What kind of topography/structures that surrounds the building?</t>
  </si>
  <si>
    <t>Low (Urban, Numerous Obstruction) ; Moderate (Open, Minimum Obstruction) ; High (Flat Terrain, Unobstructed)</t>
  </si>
  <si>
    <t>FLOOD INDICATORS</t>
  </si>
  <si>
    <t>A3.1 SLOPE</t>
  </si>
  <si>
    <t>What is the expected slope of the on the historical house?</t>
  </si>
  <si>
    <t>Low (1-8 degrees) ; Moderate (9-30 degrees) ; High (above 30 degrees)</t>
  </si>
  <si>
    <t>A3.2 ELEVATION</t>
  </si>
  <si>
    <t>What is the elevation above sea level of the historical house based on data?</t>
  </si>
  <si>
    <t>Low (above 10 meters) ; Moderate (between 5-10 meters) ; High (below 5 meters)</t>
  </si>
  <si>
    <t>A3.3 DISTANCE TO RIVERS AND SEAS</t>
  </si>
  <si>
    <t>What is the nearest distance from a historical structure to a large body of water?</t>
  </si>
  <si>
    <t>Low (above 500 meters) ; Moderate (between 200-500 meters) ; High (below 200 meters)</t>
  </si>
  <si>
    <t>A3.4 SURFACE RUN-OFF</t>
  </si>
  <si>
    <t>What type of surface is surrounding the structure?</t>
  </si>
  <si>
    <t>Low (Lawn, Grass) ; Moderate (Clay) ; High (Concrete, Asphalt, Brick)</t>
  </si>
  <si>
    <t>A3.5 BASE HEIGHT</t>
  </si>
  <si>
    <t>What is the base height with respect to the road?</t>
  </si>
  <si>
    <t>Low (Base is Higher than  the road) ; Moderate (Base is same level with the road) ; High (Base is lower than the road)</t>
  </si>
  <si>
    <t>A3.6 DRAINAGE SYSTEM</t>
  </si>
  <si>
    <t>What is the current condition of the nearest drainage system?</t>
  </si>
  <si>
    <t>Low (Regular Maintenance) ; Moderate (Seldom to No Maintenance) ; High (No Drainage)</t>
  </si>
  <si>
    <t>EXPOSURE INDICATORS</t>
  </si>
  <si>
    <t>Total</t>
  </si>
  <si>
    <t>ARCHITECTURAL VALUE</t>
  </si>
  <si>
    <t>B1.1</t>
  </si>
  <si>
    <t>The aesthetic theme reflects the building's proportion, decoration and its urban/natural landscape.</t>
  </si>
  <si>
    <t>Disagree=1 ; Neutral=2 ; Agree=3</t>
  </si>
  <si>
    <t>B1.2</t>
  </si>
  <si>
    <t>The architectural style is eye-cathching and unique. The design stands out among its contemporaries.</t>
  </si>
  <si>
    <t>B1.3</t>
  </si>
  <si>
    <t>The architectural style is typical of its prevailing style during its era or period of construction.</t>
  </si>
  <si>
    <t>B1.4</t>
  </si>
  <si>
    <t>The architectural style beautifully integrates into the cityscape- adding to its appearance.</t>
  </si>
  <si>
    <t>HISTORICAL VALUE</t>
  </si>
  <si>
    <t>B2.1</t>
  </si>
  <si>
    <t>Age of the Building</t>
  </si>
  <si>
    <t>Low (50-75 years old) ; Moderate (76 to 125 years old) ; High (126 years old and above)</t>
  </si>
  <si>
    <t>B2.2</t>
  </si>
  <si>
    <t>The building's past is relevant as I am able to identify with the culture and history of the building represents.</t>
  </si>
  <si>
    <t>B2.3</t>
  </si>
  <si>
    <t>Geographical Impact of the Building's History</t>
  </si>
  <si>
    <t>Local=1 ; Regional=2 ; National=3</t>
  </si>
  <si>
    <t>B2.4</t>
  </si>
  <si>
    <t>The building's history strongly ties in the area's cultural heritage</t>
  </si>
  <si>
    <t>B2.5</t>
  </si>
  <si>
    <t>The building relays an important message about the area's history, which is worth telling and preserving.</t>
  </si>
  <si>
    <t>SOCIAL VALUE</t>
  </si>
  <si>
    <t>B3.1</t>
  </si>
  <si>
    <t>Initiatives were seen to promote this cultural property.</t>
  </si>
  <si>
    <t>B3.2</t>
  </si>
  <si>
    <t>Prominent person/people strongly suggest for its conservation.</t>
  </si>
  <si>
    <t>B3.3</t>
  </si>
  <si>
    <t>The building has a strong sense of importance in the people's daily lives.</t>
  </si>
  <si>
    <t>B3.4</t>
  </si>
  <si>
    <t>No efforts were made to futher promote this building.</t>
  </si>
  <si>
    <t>SOCIO-ECONOMIC VALUE</t>
  </si>
  <si>
    <t>B4.1</t>
  </si>
  <si>
    <t>This building is a must-see for the tourists who are eager to visit the area.</t>
  </si>
  <si>
    <t>B4.2</t>
  </si>
  <si>
    <t>This building contributes to overall tourism in the community.</t>
  </si>
  <si>
    <t>B4.3</t>
  </si>
  <si>
    <t>The building is often visited for its goods and services.</t>
  </si>
  <si>
    <t>B4.4</t>
  </si>
  <si>
    <t>The current use of the building is able to adopt the needs of the community without sacrificing the culture it represents.</t>
  </si>
  <si>
    <t>VULNERABILITY INDICATORS</t>
  </si>
  <si>
    <t>STRUCTURAL VULNERABILITY</t>
  </si>
  <si>
    <t>C1.1 CODE YEAR BUILT</t>
  </si>
  <si>
    <t>When was this building built?</t>
  </si>
  <si>
    <t>Low (1992 and beyond- Post benchmark) ; Moderate (1972-1991) ; High (before 1972- Pre-code)</t>
  </si>
  <si>
    <t>C1.2 PLAN IRREGULARITY</t>
  </si>
  <si>
    <t>Is there irregularity in the floor plan of the building?</t>
  </si>
  <si>
    <t>Low (Regular) ; Moderate (Irregular/ Symmetric (T, U, C)) ; High (Irregular/ Not Symmetric (L))</t>
  </si>
  <si>
    <t>C1.3 VERTICAL IRREGULARITY</t>
  </si>
  <si>
    <t>Is there irregularity in the elevation plan of the building?</t>
  </si>
  <si>
    <t>Low (None) ; Moderate (1 vertical irregularity) ; High (2 or more vertical irregularities)</t>
  </si>
  <si>
    <t>C1.4 BUILDING PROXIMITY/ POUNDING EFFECT</t>
  </si>
  <si>
    <t>Is the building adjacent to another building?</t>
  </si>
  <si>
    <t>Low (No adjacent building) ; Moderate (Adequate-more than 6 inches) ; High (Not adequate- less than 6 inches)</t>
  </si>
  <si>
    <t>C1.5 NUMBER OF STOREYS</t>
  </si>
  <si>
    <t>How many stories are there in the building?</t>
  </si>
  <si>
    <t>Low (1 storey) ; Moderate (2 stories) ; High (3 or more stories)</t>
  </si>
  <si>
    <t>C1.6 STRUCTURAL SYSTEM MATERIAL</t>
  </si>
  <si>
    <t>From what material and frame system is the building built from?</t>
  </si>
  <si>
    <t>Low (Timber Frame and Light Steel Frame) ; Moderate (Reinforced Concrete and Steel) ; High (Unreinforced Masonry)</t>
  </si>
  <si>
    <t>C1.7 NUMBER OF BAYS</t>
  </si>
  <si>
    <t>How many bays are there in the short direction?</t>
  </si>
  <si>
    <t>Low (5 or more bays) ; Moderate (3 to 4 bays) ; High (Less than 3 bays)</t>
  </si>
  <si>
    <t>C1.8 COLUMN SPACING</t>
  </si>
  <si>
    <t>What is the maximum distance between two columns?</t>
  </si>
  <si>
    <t>Low (Less than 3 meters) ; Moderate (between 3 to 5 meters) ; High (more than 5 meters)</t>
  </si>
  <si>
    <t>C1.9 BUILDING ENCLOSURE</t>
  </si>
  <si>
    <t>How is the building enclosed by its walls?</t>
  </si>
  <si>
    <t>Low (Enclosed) ; Moderate (Partially Open) ; High (Open)</t>
  </si>
  <si>
    <t>C1.10 BUILDING WALL MATERIAL</t>
  </si>
  <si>
    <t>From what material was the building built from?</t>
  </si>
  <si>
    <t>Low (Reinforced Concrete) ; Moderate (Reinforced Masonry) ; High (Unreinforced Masonry, Glass, Wood, Bamboo)</t>
  </si>
  <si>
    <t>C1.11 STRUCTURAL FRAMING TYPE</t>
  </si>
  <si>
    <t>What type of lateral load-resisting frame is used in the building?</t>
  </si>
  <si>
    <t>Low (Braced, Special Moment-Resisting Frame) ; Moderate (Shearwall) ; High (Ordinary Frame)</t>
  </si>
  <si>
    <t>C1.12 FLOORING MATERIAL</t>
  </si>
  <si>
    <t>From what material does the floor made of?</t>
  </si>
  <si>
    <t>Low (Tiles, Concrete) ; Moderate (Hardwood) ; High (Earth Mud)</t>
  </si>
  <si>
    <t>BUILDING CONDITION</t>
  </si>
  <si>
    <t>C2.1 CRACK WIDTH</t>
  </si>
  <si>
    <t>What is the maximum crack width of the concrete/wood?</t>
  </si>
  <si>
    <t>Low (Less than 1 millimeter) ; Moderate (between 1 to 3 millimeters) ; High (more than 3 millimeters)</t>
  </si>
  <si>
    <t>C2.2 UNEVEN SETTLEMENT</t>
  </si>
  <si>
    <t>Is the building experiencing building inclination or uneven settlement?</t>
  </si>
  <si>
    <t>No=1 ; Yes=3</t>
  </si>
  <si>
    <t>C2.3 BEAM AND COLUMN DEFORMATIONS</t>
  </si>
  <si>
    <t>Is there a visible deformation on beams and columns?</t>
  </si>
  <si>
    <t>C2.4 FINISHING CONDITION</t>
  </si>
  <si>
    <t>Is there a severe deterioration  of the finishing of the walls?</t>
  </si>
  <si>
    <t>C2.5 DECAY OF STRUCTURAL MEMBERS/JOINTS</t>
  </si>
  <si>
    <t>Is the a visible decay of any of the structural members in the building?</t>
  </si>
  <si>
    <t>C2.6 ADDITIONAL LOADS</t>
  </si>
  <si>
    <t>Is there a part of upper floor that is used as storage room or is used for big gatherings?</t>
  </si>
  <si>
    <t>ROOF CHARACTERISTICS</t>
  </si>
  <si>
    <t>C3.1 TYPE OF ROOF DESIGN</t>
  </si>
  <si>
    <t>What is the roof type?</t>
  </si>
  <si>
    <t>Low (Hip) ; Moderate (Dutch Hip Roofs, Gable) ; High (Monoslope)</t>
  </si>
  <si>
    <t>C3.2 ROOF SLOPE</t>
  </si>
  <si>
    <t>How much is the approximate slope of the roof?</t>
  </si>
  <si>
    <t>Low (between 30 to 45 degrees) ; Moderate (above 45 degrees) ; High (below 30 degrees)</t>
  </si>
  <si>
    <t>C3.3 ROOFING MATERIAL</t>
  </si>
  <si>
    <t>From what material does the roof made of?</t>
  </si>
  <si>
    <t>Low (Tiles, Concrete) ; Moderate (Galvanized Iron Sheets, Metals) ; High (Wood, Shingles, Thatch)</t>
  </si>
  <si>
    <t>FASTENER CHARACTERISTICS</t>
  </si>
  <si>
    <t>C4.1 ROOF FASTENERS</t>
  </si>
  <si>
    <t>What type of fastener is used in the roofing system?</t>
  </si>
  <si>
    <t>Low (Metal Screw) ; Moderate (Nails) ; High (Staples)</t>
  </si>
  <si>
    <t>C4.2 FASTENER SPACING</t>
  </si>
  <si>
    <t>What is the distance between the roof fastener?</t>
  </si>
  <si>
    <t>Low (225 mm and below) ; Moderate (226 mm- 450 mm) ; High (above 450 mm)</t>
  </si>
  <si>
    <t>HAZARD RATING</t>
  </si>
  <si>
    <t>EXPOSURE RATING</t>
  </si>
  <si>
    <t>VULNERABILITY RATING</t>
  </si>
  <si>
    <t>RISK RATING</t>
  </si>
  <si>
    <t>BUILDING RISK INDEX</t>
  </si>
  <si>
    <t>RISK DESCRIPTION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</si>
</sst>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0.000"/>
  </numFmts>
  <fonts count="6">
    <font>
      <sz val="10.0"/>
      <color rgb="FF000000"/>
      <name val="Arial"/>
      <scheme val="minor"/>
    </font>
    <font>
      <sz val="11.0"/>
      <color theme="1"/>
      <name val="Calibri"/>
    </font>
    <font/>
    <font>
      <sz val="12.0"/>
      <color theme="1"/>
      <name val="Calibri"/>
    </font>
    <font>
      <b/>
      <sz val="12.0"/>
      <color theme="1"/>
      <name val="Calibri"/>
    </font>
    <font>
      <sz val="9.0"/>
      <color theme="1"/>
      <name val="Calibri"/>
    </font>
  </fonts>
  <fills count="11">
    <fill>
      <patternFill patternType="none"/>
    </fill>
    <fill>
      <patternFill patternType="lightGray"/>
    </fill>
    <fill>
      <patternFill patternType="solid">
        <fgColor theme="0"/>
        <bgColor theme="0"/>
      </patternFill>
    </fill>
    <fill>
      <patternFill patternType="solid">
        <fgColor rgb="FFFF0000"/>
        <bgColor rgb="FFFF0000"/>
      </patternFill>
    </fill>
    <fill>
      <patternFill patternType="solid">
        <fgColor rgb="FF999999"/>
        <bgColor rgb="FF999999"/>
      </patternFill>
    </fill>
    <fill>
      <patternFill patternType="solid">
        <fgColor rgb="FF00B0F0"/>
        <bgColor rgb="FF00B0F0"/>
      </patternFill>
    </fill>
    <fill>
      <patternFill patternType="solid">
        <fgColor rgb="FFFFFF00"/>
        <bgColor rgb="FFFFFF00"/>
      </patternFill>
    </fill>
    <fill>
      <patternFill patternType="solid">
        <fgColor rgb="FFBFBFBF"/>
        <bgColor rgb="FFBFBFBF"/>
      </patternFill>
    </fill>
    <fill>
      <patternFill patternType="solid">
        <fgColor rgb="FFCCCCCC"/>
        <bgColor rgb="FFCCCCCC"/>
      </patternFill>
    </fill>
    <fill>
      <patternFill patternType="solid">
        <fgColor rgb="FF92D050"/>
        <bgColor rgb="FF92D050"/>
      </patternFill>
    </fill>
    <fill>
      <patternFill patternType="solid">
        <fgColor rgb="FFFF9900"/>
        <bgColor rgb="FFFF9900"/>
      </patternFill>
    </fill>
  </fills>
  <borders count="45">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bottom style="thin">
        <color rgb="FF000000"/>
      </bottom>
    </border>
    <border>
      <bottom style="thin">
        <color rgb="FF000000"/>
      </bottom>
    </border>
    <border>
      <right style="medium">
        <color rgb="FF000000"/>
      </right>
      <bottom style="thin">
        <color rgb="FF000000"/>
      </bottom>
    </border>
    <border>
      <top/>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right/>
      <top/>
      <bottom/>
    </border>
    <border>
      <left/>
      <right/>
      <bottom/>
    </border>
    <border>
      <left/>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vertical="center"/>
    </xf>
    <xf borderId="1" fillId="0" fontId="1" numFmtId="0" xfId="0" applyAlignment="1" applyBorder="1" applyFont="1">
      <alignment horizontal="left" vertical="center"/>
    </xf>
    <xf borderId="2" fillId="0" fontId="2" numFmtId="0" xfId="0" applyBorder="1" applyFont="1"/>
    <xf borderId="3" fillId="0" fontId="2" numFmtId="0" xfId="0" applyBorder="1" applyFont="1"/>
    <xf borderId="4" fillId="0" fontId="1" numFmtId="0" xfId="0" applyAlignment="1" applyBorder="1" applyFont="1">
      <alignment horizontal="center" readingOrder="0" vertical="center"/>
    </xf>
    <xf borderId="5" fillId="0" fontId="2" numFmtId="0" xfId="0" applyBorder="1" applyFont="1"/>
    <xf borderId="6" fillId="2" fontId="1" numFmtId="0" xfId="0" applyAlignment="1" applyBorder="1" applyFill="1" applyFont="1">
      <alignment vertical="center"/>
    </xf>
    <xf borderId="7" fillId="0" fontId="3" numFmtId="0" xfId="0" applyAlignment="1" applyBorder="1" applyFont="1">
      <alignment horizontal="left" vertical="center"/>
    </xf>
    <xf borderId="8" fillId="0" fontId="2" numFmtId="0" xfId="0" applyBorder="1" applyFont="1"/>
    <xf borderId="9" fillId="0" fontId="2" numFmtId="0" xfId="0" applyBorder="1" applyFont="1"/>
    <xf borderId="10" fillId="0" fontId="1" numFmtId="0" xfId="0" applyAlignment="1" applyBorder="1" applyFont="1">
      <alignment horizontal="left" vertical="center"/>
    </xf>
    <xf borderId="11" fillId="0" fontId="2" numFmtId="0" xfId="0" applyBorder="1" applyFont="1"/>
    <xf borderId="12" fillId="0" fontId="2" numFmtId="0" xfId="0" applyBorder="1" applyFont="1"/>
    <xf borderId="13" fillId="0" fontId="1" numFmtId="0" xfId="0" applyAlignment="1" applyBorder="1" applyFont="1">
      <alignment horizontal="center" readingOrder="0" vertical="center"/>
    </xf>
    <xf borderId="14" fillId="0" fontId="2" numFmtId="0" xfId="0" applyBorder="1" applyFont="1"/>
    <xf borderId="15" fillId="0" fontId="2" numFmtId="0" xfId="0" applyBorder="1" applyFont="1"/>
    <xf borderId="16" fillId="0" fontId="2" numFmtId="0" xfId="0" applyBorder="1" applyFont="1"/>
    <xf borderId="17" fillId="0" fontId="2" numFmtId="0" xfId="0" applyBorder="1" applyFont="1"/>
    <xf borderId="18" fillId="2" fontId="1" numFmtId="0" xfId="0" applyAlignment="1" applyBorder="1" applyFont="1">
      <alignment vertical="center"/>
    </xf>
    <xf borderId="19" fillId="0" fontId="1" numFmtId="0" xfId="0" applyAlignment="1" applyBorder="1" applyFont="1">
      <alignment shrinkToFit="0" vertical="center" wrapText="1"/>
    </xf>
    <xf borderId="20" fillId="0" fontId="2" numFmtId="0" xfId="0" applyBorder="1" applyFont="1"/>
    <xf borderId="21" fillId="0" fontId="2" numFmtId="0" xfId="0" applyBorder="1" applyFont="1"/>
    <xf borderId="22" fillId="0" fontId="2" numFmtId="0" xfId="0" applyBorder="1" applyFont="1"/>
    <xf borderId="23" fillId="0" fontId="2" numFmtId="0" xfId="0" applyBorder="1" applyFont="1"/>
    <xf borderId="13" fillId="0" fontId="1" numFmtId="0" xfId="0" applyAlignment="1" applyBorder="1" applyFont="1">
      <alignment horizontal="center" vertical="center"/>
    </xf>
    <xf borderId="24" fillId="0" fontId="1" numFmtId="0" xfId="0" applyAlignment="1" applyBorder="1" applyFont="1">
      <alignment horizontal="left" vertical="center"/>
    </xf>
    <xf borderId="25" fillId="0" fontId="2" numFmtId="0" xfId="0" applyBorder="1" applyFont="1"/>
    <xf borderId="26" fillId="0" fontId="2" numFmtId="0" xfId="0" applyBorder="1" applyFont="1"/>
    <xf borderId="27" fillId="0" fontId="1" numFmtId="0" xfId="0" applyAlignment="1" applyBorder="1" applyFont="1">
      <alignment horizontal="center" vertical="center"/>
    </xf>
    <xf borderId="28" fillId="0" fontId="2" numFmtId="0" xfId="0" applyBorder="1" applyFont="1"/>
    <xf borderId="29" fillId="2" fontId="1" numFmtId="0" xfId="0" applyAlignment="1" applyBorder="1" applyFont="1">
      <alignment vertical="center"/>
    </xf>
    <xf borderId="30" fillId="2" fontId="1" numFmtId="0" xfId="0" applyAlignment="1" applyBorder="1" applyFont="1">
      <alignment vertical="center"/>
    </xf>
    <xf borderId="31" fillId="2" fontId="1" numFmtId="0" xfId="0" applyAlignment="1" applyBorder="1" applyFont="1">
      <alignment vertical="center"/>
    </xf>
    <xf borderId="7" fillId="0" fontId="1" numFmtId="0" xfId="0" applyAlignment="1" applyBorder="1" applyFont="1">
      <alignment horizontal="left" shrinkToFit="0" vertical="center" wrapText="1"/>
    </xf>
    <xf borderId="32" fillId="0" fontId="2" numFmtId="0" xfId="0" applyBorder="1" applyFont="1"/>
    <xf borderId="33" fillId="0" fontId="2" numFmtId="0" xfId="0" applyBorder="1" applyFont="1"/>
    <xf borderId="34" fillId="0" fontId="2" numFmtId="0" xfId="0" applyBorder="1" applyFont="1"/>
    <xf borderId="13" fillId="0" fontId="4" numFmtId="0" xfId="0" applyAlignment="1" applyBorder="1" applyFont="1">
      <alignment horizontal="center" vertical="center"/>
    </xf>
    <xf borderId="35" fillId="0" fontId="1" numFmtId="0" xfId="0" applyAlignment="1" applyBorder="1" applyFont="1">
      <alignment horizontal="center" vertical="center"/>
    </xf>
    <xf borderId="36" fillId="0" fontId="1" numFmtId="0" xfId="0" applyAlignment="1" applyBorder="1" applyFont="1">
      <alignment horizontal="center" vertical="center"/>
    </xf>
    <xf borderId="37" fillId="0" fontId="2" numFmtId="0" xfId="0" applyBorder="1" applyFont="1"/>
    <xf borderId="38" fillId="0" fontId="1" numFmtId="0" xfId="0" applyAlignment="1" applyBorder="1" applyFont="1">
      <alignment horizontal="center" shrinkToFit="0" vertical="center" wrapText="1"/>
    </xf>
    <xf borderId="38" fillId="0" fontId="1" numFmtId="0" xfId="0" applyAlignment="1" applyBorder="1" applyFont="1">
      <alignment horizontal="center" vertical="center"/>
    </xf>
    <xf borderId="38" fillId="0" fontId="1" numFmtId="0" xfId="0" applyAlignment="1" applyBorder="1" applyFont="1">
      <alignment horizontal="center" readingOrder="0" shrinkToFit="0" vertical="center" wrapText="1"/>
    </xf>
    <xf borderId="13" fillId="0" fontId="1" numFmtId="0" xfId="0" applyAlignment="1" applyBorder="1" applyFont="1">
      <alignment readingOrder="0" vertical="center"/>
    </xf>
    <xf borderId="39" fillId="0" fontId="2" numFmtId="0" xfId="0" applyBorder="1" applyFont="1"/>
    <xf borderId="40" fillId="0" fontId="2" numFmtId="0" xfId="0" applyBorder="1" applyFont="1"/>
    <xf borderId="41" fillId="0" fontId="2" numFmtId="0" xfId="0" applyBorder="1" applyFont="1"/>
    <xf borderId="13" fillId="0" fontId="1" numFmtId="0" xfId="0" applyAlignment="1" applyBorder="1" applyFont="1">
      <alignment readingOrder="0" shrinkToFit="0" vertical="center" wrapText="1"/>
    </xf>
    <xf borderId="38" fillId="3" fontId="1" numFmtId="0" xfId="0" applyAlignment="1" applyBorder="1" applyFill="1" applyFont="1">
      <alignment horizontal="center" vertical="center"/>
    </xf>
    <xf borderId="36" fillId="0" fontId="1" numFmtId="0" xfId="0" applyAlignment="1" applyBorder="1" applyFont="1">
      <alignment horizontal="center" textRotation="90" vertical="center"/>
    </xf>
    <xf borderId="1" fillId="0" fontId="1" numFmtId="0" xfId="0" applyAlignment="1" applyBorder="1" applyFont="1">
      <alignment horizontal="left" shrinkToFit="0" vertical="center" wrapText="1"/>
    </xf>
    <xf borderId="37" fillId="0" fontId="1" numFmtId="0" xfId="0" applyAlignment="1" applyBorder="1" applyFont="1">
      <alignment horizontal="center" vertical="center"/>
    </xf>
    <xf borderId="38" fillId="0" fontId="1" numFmtId="0" xfId="0" applyAlignment="1" applyBorder="1" applyFont="1">
      <alignment horizontal="center" readingOrder="0" vertical="center"/>
    </xf>
    <xf borderId="38" fillId="4" fontId="1" numFmtId="0" xfId="0" applyAlignment="1" applyBorder="1" applyFill="1" applyFont="1">
      <alignment horizontal="center" readingOrder="0" vertical="center"/>
    </xf>
    <xf borderId="38" fillId="5" fontId="1" numFmtId="0" xfId="0" applyAlignment="1" applyBorder="1" applyFill="1" applyFont="1">
      <alignment horizontal="center" vertical="center"/>
    </xf>
    <xf borderId="38" fillId="6" fontId="1" numFmtId="0" xfId="0" applyAlignment="1" applyBorder="1" applyFill="1" applyFont="1">
      <alignment horizontal="center" vertical="center"/>
    </xf>
    <xf borderId="42" fillId="0" fontId="2" numFmtId="0" xfId="0" applyBorder="1" applyFont="1"/>
    <xf borderId="43" fillId="0" fontId="2" numFmtId="0" xfId="0" applyBorder="1" applyFont="1"/>
    <xf borderId="10" fillId="7" fontId="1" numFmtId="0" xfId="0" applyAlignment="1" applyBorder="1" applyFill="1" applyFont="1">
      <alignment horizontal="left" shrinkToFit="0" vertical="center" wrapText="1"/>
    </xf>
    <xf borderId="44" fillId="0" fontId="2" numFmtId="0" xfId="0" applyBorder="1" applyFont="1"/>
    <xf borderId="24" fillId="0" fontId="1" numFmtId="0" xfId="0" applyAlignment="1" applyBorder="1" applyFont="1">
      <alignment horizontal="left" shrinkToFit="0" vertical="center" wrapText="1"/>
    </xf>
    <xf borderId="1" fillId="0" fontId="1" numFmtId="0" xfId="0" applyAlignment="1" applyBorder="1" applyFont="1">
      <alignment horizontal="left" readingOrder="0" shrinkToFit="0" vertical="center" wrapText="1"/>
    </xf>
    <xf borderId="37" fillId="0" fontId="1" numFmtId="0" xfId="0" applyAlignment="1" applyBorder="1" applyFont="1">
      <alignment horizontal="center" readingOrder="0" vertical="center"/>
    </xf>
    <xf borderId="0" fillId="0" fontId="1" numFmtId="0" xfId="0" applyAlignment="1" applyFont="1">
      <alignment readingOrder="0" shrinkToFit="0" vertical="center" wrapText="1"/>
    </xf>
    <xf borderId="38" fillId="8" fontId="1" numFmtId="0" xfId="0" applyAlignment="1" applyBorder="1" applyFill="1" applyFont="1">
      <alignment horizontal="center" readingOrder="0" vertical="center"/>
    </xf>
    <xf borderId="38" fillId="9" fontId="1" numFmtId="0" xfId="0" applyAlignment="1" applyBorder="1" applyFill="1" applyFont="1">
      <alignment horizontal="center" vertical="center"/>
    </xf>
    <xf borderId="24" fillId="0" fontId="1" numFmtId="0" xfId="0" applyAlignment="1" applyBorder="1" applyFont="1">
      <alignment horizontal="left" readingOrder="0" shrinkToFit="0" vertical="center" wrapText="1"/>
    </xf>
    <xf borderId="10" fillId="7" fontId="1" numFmtId="0" xfId="0" applyAlignment="1" applyBorder="1" applyFont="1">
      <alignment horizontal="left" readingOrder="0" shrinkToFit="0" vertical="center" wrapText="1"/>
    </xf>
    <xf borderId="1" fillId="0" fontId="1" numFmtId="0" xfId="0" applyAlignment="1" applyBorder="1" applyFont="1">
      <alignment shrinkToFit="0" vertical="center" wrapText="1"/>
    </xf>
    <xf borderId="37" fillId="0" fontId="1" numFmtId="0" xfId="0" applyAlignment="1" applyBorder="1" applyFont="1">
      <alignment horizontal="center" shrinkToFit="0" vertical="center" wrapText="1"/>
    </xf>
    <xf borderId="43" fillId="0" fontId="1" numFmtId="0" xfId="0" applyAlignment="1" applyBorder="1" applyFont="1">
      <alignment horizontal="center" textRotation="90" vertical="center"/>
    </xf>
    <xf borderId="37" fillId="0" fontId="1" numFmtId="0" xfId="0" applyAlignment="1" applyBorder="1" applyFont="1">
      <alignment horizontal="center" readingOrder="0" shrinkToFit="0" vertical="center" wrapText="1"/>
    </xf>
    <xf borderId="10" fillId="7" fontId="1" numFmtId="0" xfId="0" applyAlignment="1" applyBorder="1" applyFont="1">
      <alignment horizontal="left" vertical="center"/>
    </xf>
    <xf borderId="36" fillId="0" fontId="5" numFmtId="0" xfId="0" applyAlignment="1" applyBorder="1" applyFont="1">
      <alignment horizontal="center" readingOrder="0" textRotation="90" vertical="center"/>
    </xf>
    <xf borderId="13" fillId="10" fontId="1" numFmtId="0" xfId="0" applyAlignment="1" applyBorder="1" applyFill="1" applyFont="1">
      <alignment horizontal="right" vertical="center"/>
    </xf>
    <xf borderId="13" fillId="0" fontId="1" numFmtId="164" xfId="0" applyAlignment="1" applyBorder="1" applyFont="1" applyNumberFormat="1">
      <alignment horizontal="center" vertical="center"/>
    </xf>
    <xf borderId="13" fillId="0" fontId="1" numFmtId="165" xfId="0" applyAlignment="1" applyBorder="1" applyFont="1" applyNumberFormat="1">
      <alignment horizontal="center" vertical="center"/>
    </xf>
  </cellXfs>
  <cellStyles count="1">
    <cellStyle xfId="0" name="Normal" builtinId="0"/>
  </cellStyles>
  <dxfs count="3">
    <dxf>
      <font/>
      <fill>
        <patternFill patternType="solid">
          <fgColor rgb="FFFF3232"/>
          <bgColor rgb="FFFF3232"/>
        </patternFill>
      </fill>
      <border/>
    </dxf>
    <dxf>
      <font/>
      <fill>
        <patternFill patternType="solid">
          <fgColor rgb="FFFF7D7D"/>
          <bgColor rgb="FFFF7D7D"/>
        </patternFill>
      </fill>
      <border/>
    </dxf>
    <dxf>
      <font/>
      <fill>
        <patternFill patternType="solid">
          <fgColor rgb="FFFFC8C8"/>
          <bgColor rgb="FFFFC8C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7.75"/>
    <col customWidth="1" min="2" max="2" width="8.0"/>
    <col customWidth="1" min="3" max="3" width="7.25"/>
    <col customWidth="1" min="4" max="5" width="9.13"/>
    <col customWidth="1" min="6" max="6" width="59.75"/>
    <col customWidth="1" min="7" max="7" width="13.13"/>
    <col customWidth="1" min="8" max="8" width="13.75"/>
    <col customWidth="1" min="9" max="9" width="13.5"/>
    <col customWidth="1" min="10" max="10" width="12.13"/>
    <col customWidth="1" min="11" max="11" width="12.5"/>
    <col customWidth="1" min="12" max="13" width="7.75"/>
    <col customWidth="1" min="14" max="14" width="4.0"/>
    <col customWidth="1" min="15" max="26" width="7.63"/>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2" t="s">
        <v>0</v>
      </c>
      <c r="C6" s="3"/>
      <c r="D6" s="4"/>
      <c r="E6" s="5" t="s">
        <v>1</v>
      </c>
      <c r="F6" s="6"/>
      <c r="G6" s="7"/>
      <c r="H6" s="8" t="s">
        <v>2</v>
      </c>
      <c r="I6" s="9"/>
      <c r="J6" s="9"/>
      <c r="K6" s="9"/>
      <c r="L6" s="9"/>
      <c r="M6" s="10"/>
      <c r="N6" s="1"/>
      <c r="O6" s="1"/>
      <c r="P6" s="1"/>
      <c r="Q6" s="1"/>
      <c r="R6" s="1"/>
      <c r="S6" s="1"/>
      <c r="T6" s="1"/>
      <c r="U6" s="1"/>
      <c r="V6" s="1"/>
      <c r="W6" s="1"/>
      <c r="X6" s="1"/>
      <c r="Y6" s="1"/>
      <c r="Z6" s="1"/>
    </row>
    <row r="7" ht="14.25" customHeight="1">
      <c r="A7" s="1"/>
      <c r="B7" s="11" t="s">
        <v>3</v>
      </c>
      <c r="C7" s="12"/>
      <c r="D7" s="13"/>
      <c r="E7" s="14" t="s">
        <v>4</v>
      </c>
      <c r="F7" s="15"/>
      <c r="G7" s="7"/>
      <c r="H7" s="16"/>
      <c r="I7" s="17"/>
      <c r="J7" s="17"/>
      <c r="K7" s="17"/>
      <c r="L7" s="17"/>
      <c r="M7" s="18"/>
      <c r="N7" s="1"/>
      <c r="O7" s="1"/>
      <c r="P7" s="1"/>
      <c r="Q7" s="1"/>
      <c r="R7" s="1"/>
      <c r="S7" s="1"/>
      <c r="T7" s="1"/>
      <c r="U7" s="1"/>
      <c r="V7" s="1"/>
      <c r="W7" s="1"/>
      <c r="X7" s="1"/>
      <c r="Y7" s="1"/>
      <c r="Z7" s="1"/>
    </row>
    <row r="8" ht="14.25" customHeight="1">
      <c r="A8" s="1"/>
      <c r="B8" s="11" t="s">
        <v>5</v>
      </c>
      <c r="C8" s="12"/>
      <c r="D8" s="13"/>
      <c r="E8" s="14" t="s">
        <v>6</v>
      </c>
      <c r="F8" s="15"/>
      <c r="G8" s="19"/>
      <c r="H8" s="20" t="s">
        <v>7</v>
      </c>
      <c r="I8" s="21"/>
      <c r="J8" s="21"/>
      <c r="K8" s="21"/>
      <c r="L8" s="21"/>
      <c r="M8" s="22"/>
      <c r="N8" s="1"/>
      <c r="O8" s="1"/>
      <c r="P8" s="1"/>
      <c r="Q8" s="1"/>
      <c r="R8" s="1"/>
      <c r="S8" s="1"/>
      <c r="T8" s="1"/>
      <c r="U8" s="1"/>
      <c r="V8" s="1"/>
      <c r="W8" s="1"/>
      <c r="X8" s="1"/>
      <c r="Y8" s="1"/>
      <c r="Z8" s="1"/>
    </row>
    <row r="9" ht="14.25" customHeight="1">
      <c r="A9" s="1"/>
      <c r="B9" s="11" t="s">
        <v>8</v>
      </c>
      <c r="C9" s="12"/>
      <c r="D9" s="13"/>
      <c r="E9" s="14" t="s">
        <v>9</v>
      </c>
      <c r="F9" s="15"/>
      <c r="G9" s="19"/>
      <c r="H9" s="23"/>
      <c r="M9" s="24"/>
      <c r="N9" s="1"/>
      <c r="O9" s="1"/>
      <c r="P9" s="1"/>
      <c r="Q9" s="1"/>
      <c r="R9" s="1"/>
      <c r="S9" s="1"/>
      <c r="T9" s="1"/>
      <c r="U9" s="1"/>
      <c r="V9" s="1"/>
      <c r="W9" s="1"/>
      <c r="X9" s="1"/>
      <c r="Y9" s="1"/>
      <c r="Z9" s="1"/>
    </row>
    <row r="10" ht="14.25" customHeight="1">
      <c r="A10" s="1"/>
      <c r="B10" s="11" t="s">
        <v>10</v>
      </c>
      <c r="C10" s="12"/>
      <c r="D10" s="13"/>
      <c r="E10" s="14" t="s">
        <v>11</v>
      </c>
      <c r="F10" s="15"/>
      <c r="G10" s="19"/>
      <c r="H10" s="23"/>
      <c r="M10" s="24"/>
      <c r="N10" s="1"/>
      <c r="O10" s="1"/>
      <c r="P10" s="1"/>
      <c r="Q10" s="1"/>
      <c r="R10" s="1"/>
      <c r="S10" s="1"/>
      <c r="T10" s="1"/>
      <c r="U10" s="1"/>
      <c r="V10" s="1"/>
      <c r="W10" s="1"/>
      <c r="X10" s="1"/>
      <c r="Y10" s="1"/>
      <c r="Z10" s="1"/>
    </row>
    <row r="11" ht="14.25" customHeight="1">
      <c r="A11" s="1"/>
      <c r="B11" s="11" t="s">
        <v>12</v>
      </c>
      <c r="C11" s="12"/>
      <c r="D11" s="13"/>
      <c r="E11" s="25" t="s">
        <v>13</v>
      </c>
      <c r="F11" s="15"/>
      <c r="G11" s="19"/>
      <c r="H11" s="23"/>
      <c r="M11" s="24"/>
      <c r="N11" s="1"/>
      <c r="O11" s="1"/>
      <c r="P11" s="1"/>
      <c r="Q11" s="1"/>
      <c r="R11" s="1"/>
      <c r="S11" s="1"/>
      <c r="T11" s="1"/>
      <c r="U11" s="1"/>
      <c r="V11" s="1"/>
      <c r="W11" s="1"/>
      <c r="X11" s="1"/>
      <c r="Y11" s="1"/>
      <c r="Z11" s="1"/>
    </row>
    <row r="12" ht="14.25" customHeight="1">
      <c r="A12" s="1"/>
      <c r="B12" s="11" t="s">
        <v>14</v>
      </c>
      <c r="C12" s="12"/>
      <c r="D12" s="13"/>
      <c r="E12" s="14">
        <v>1930.0</v>
      </c>
      <c r="F12" s="15"/>
      <c r="G12" s="19"/>
      <c r="H12" s="23"/>
      <c r="M12" s="24"/>
      <c r="N12" s="1"/>
      <c r="O12" s="1"/>
      <c r="P12" s="1"/>
      <c r="Q12" s="1"/>
      <c r="R12" s="1"/>
      <c r="S12" s="1"/>
      <c r="T12" s="1"/>
      <c r="U12" s="1"/>
      <c r="V12" s="1"/>
      <c r="W12" s="1"/>
      <c r="X12" s="1"/>
      <c r="Y12" s="1"/>
      <c r="Z12" s="1"/>
    </row>
    <row r="13" ht="14.25" customHeight="1">
      <c r="A13" s="1"/>
      <c r="B13" s="26" t="s">
        <v>15</v>
      </c>
      <c r="C13" s="27"/>
      <c r="D13" s="28"/>
      <c r="E13" s="29" t="s">
        <v>16</v>
      </c>
      <c r="F13" s="30"/>
      <c r="G13" s="19"/>
      <c r="H13" s="23"/>
      <c r="M13" s="24"/>
      <c r="N13" s="1"/>
      <c r="O13" s="1"/>
      <c r="P13" s="1"/>
      <c r="Q13" s="1"/>
      <c r="R13" s="1"/>
      <c r="S13" s="1"/>
      <c r="T13" s="1"/>
      <c r="U13" s="1"/>
      <c r="V13" s="1"/>
      <c r="W13" s="1"/>
      <c r="X13" s="1"/>
      <c r="Y13" s="1"/>
      <c r="Z13" s="1"/>
    </row>
    <row r="14" ht="14.25" customHeight="1">
      <c r="A14" s="1"/>
      <c r="B14" s="31"/>
      <c r="C14" s="31"/>
      <c r="D14" s="31"/>
      <c r="E14" s="32"/>
      <c r="F14" s="32"/>
      <c r="G14" s="33"/>
      <c r="H14" s="23"/>
      <c r="M14" s="24"/>
      <c r="N14" s="1"/>
      <c r="O14" s="1"/>
      <c r="P14" s="1"/>
      <c r="Q14" s="1"/>
      <c r="R14" s="1"/>
      <c r="S14" s="1"/>
      <c r="T14" s="1"/>
      <c r="U14" s="1"/>
      <c r="V14" s="1"/>
      <c r="W14" s="1"/>
      <c r="X14" s="1"/>
      <c r="Y14" s="1"/>
      <c r="Z14" s="1"/>
    </row>
    <row r="15" ht="14.25" customHeight="1">
      <c r="A15" s="1"/>
      <c r="B15" s="34" t="s">
        <v>17</v>
      </c>
      <c r="C15" s="9"/>
      <c r="D15" s="9"/>
      <c r="E15" s="9"/>
      <c r="F15" s="10"/>
      <c r="G15" s="33"/>
      <c r="H15" s="23"/>
      <c r="M15" s="24"/>
      <c r="N15" s="1"/>
      <c r="O15" s="1"/>
      <c r="P15" s="1"/>
      <c r="Q15" s="1"/>
      <c r="R15" s="1"/>
      <c r="S15" s="1"/>
      <c r="T15" s="1"/>
      <c r="U15" s="1"/>
      <c r="V15" s="1"/>
      <c r="W15" s="1"/>
      <c r="X15" s="1"/>
      <c r="Y15" s="1"/>
      <c r="Z15" s="1"/>
    </row>
    <row r="16" ht="14.25" customHeight="1">
      <c r="A16" s="1"/>
      <c r="B16" s="35"/>
      <c r="C16" s="36"/>
      <c r="D16" s="36"/>
      <c r="E16" s="36"/>
      <c r="F16" s="37"/>
      <c r="G16" s="33"/>
      <c r="H16" s="35"/>
      <c r="I16" s="36"/>
      <c r="J16" s="36"/>
      <c r="K16" s="36"/>
      <c r="L16" s="36"/>
      <c r="M16" s="37"/>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38" t="s">
        <v>18</v>
      </c>
      <c r="C18" s="12"/>
      <c r="D18" s="12"/>
      <c r="E18" s="12"/>
      <c r="F18" s="12"/>
      <c r="G18" s="12"/>
      <c r="H18" s="12"/>
      <c r="I18" s="12"/>
      <c r="J18" s="12"/>
      <c r="K18" s="12"/>
      <c r="L18" s="12"/>
      <c r="M18" s="13"/>
      <c r="N18" s="1"/>
      <c r="O18" s="1"/>
      <c r="P18" s="1"/>
      <c r="Q18" s="1"/>
      <c r="R18" s="1"/>
      <c r="S18" s="1"/>
      <c r="T18" s="1"/>
      <c r="U18" s="1"/>
      <c r="V18" s="1"/>
      <c r="W18" s="1"/>
      <c r="X18" s="1"/>
      <c r="Y18" s="1"/>
      <c r="Z18" s="1"/>
    </row>
    <row r="19" ht="14.25" customHeight="1">
      <c r="A19" s="1"/>
      <c r="B19" s="25" t="s">
        <v>19</v>
      </c>
      <c r="C19" s="12"/>
      <c r="D19" s="13"/>
      <c r="E19" s="39"/>
      <c r="F19" s="40"/>
      <c r="G19" s="41"/>
      <c r="H19" s="42" t="s">
        <v>20</v>
      </c>
      <c r="I19" s="42" t="s">
        <v>21</v>
      </c>
      <c r="J19" s="42" t="s">
        <v>22</v>
      </c>
      <c r="K19" s="43" t="s">
        <v>23</v>
      </c>
      <c r="L19" s="43" t="s">
        <v>24</v>
      </c>
      <c r="M19" s="44" t="s">
        <v>25</v>
      </c>
      <c r="N19" s="1"/>
      <c r="O19" s="1"/>
      <c r="P19" s="45" t="s">
        <v>26</v>
      </c>
      <c r="Q19" s="12"/>
      <c r="R19" s="12"/>
      <c r="S19" s="12"/>
      <c r="T19" s="12"/>
      <c r="U19" s="12"/>
      <c r="V19" s="12"/>
      <c r="W19" s="12"/>
      <c r="X19" s="12"/>
      <c r="Y19" s="12"/>
      <c r="Z19" s="13"/>
    </row>
    <row r="20" ht="14.25" customHeight="1">
      <c r="A20" s="1"/>
      <c r="B20" s="39" t="s">
        <v>27</v>
      </c>
      <c r="C20" s="39" t="s">
        <v>28</v>
      </c>
      <c r="D20" s="39" t="s">
        <v>29</v>
      </c>
      <c r="E20" s="39"/>
      <c r="F20" s="46"/>
      <c r="G20" s="47"/>
      <c r="H20" s="48"/>
      <c r="I20" s="48"/>
      <c r="J20" s="48"/>
      <c r="K20" s="48"/>
      <c r="L20" s="48"/>
      <c r="M20" s="48"/>
      <c r="N20" s="1"/>
      <c r="O20" s="1"/>
      <c r="P20" s="49" t="s">
        <v>30</v>
      </c>
      <c r="Q20" s="12"/>
      <c r="R20" s="12"/>
      <c r="S20" s="12"/>
      <c r="T20" s="12"/>
      <c r="U20" s="12"/>
      <c r="V20" s="12"/>
      <c r="W20" s="12"/>
      <c r="X20" s="12"/>
      <c r="Y20" s="12"/>
      <c r="Z20" s="13"/>
    </row>
    <row r="21" ht="14.25" customHeight="1">
      <c r="A21" s="1"/>
      <c r="B21" s="50"/>
      <c r="C21" s="43"/>
      <c r="D21" s="43"/>
      <c r="E21" s="51" t="s">
        <v>31</v>
      </c>
      <c r="F21" s="52" t="s">
        <v>32</v>
      </c>
      <c r="G21" s="6"/>
      <c r="H21" s="53"/>
      <c r="I21" s="43"/>
      <c r="J21" s="54">
        <v>3.0</v>
      </c>
      <c r="K21" s="55">
        <v>0.0578</v>
      </c>
      <c r="L21" s="56">
        <f>((H21*K21)+(I21*K21)+(J21*K21))</f>
        <v>0.1734</v>
      </c>
      <c r="M21" s="57">
        <f>SUM(L21:L32)</f>
        <v>1.6631</v>
      </c>
      <c r="N21" s="1"/>
      <c r="O21" s="1"/>
      <c r="P21" s="49" t="s">
        <v>33</v>
      </c>
      <c r="Q21" s="12"/>
      <c r="R21" s="12"/>
      <c r="S21" s="12"/>
      <c r="T21" s="12"/>
      <c r="U21" s="12"/>
      <c r="V21" s="12"/>
      <c r="W21" s="12"/>
      <c r="X21" s="12"/>
      <c r="Y21" s="12"/>
      <c r="Z21" s="13"/>
    </row>
    <row r="22" ht="14.25" customHeight="1">
      <c r="A22" s="1"/>
      <c r="B22" s="58"/>
      <c r="C22" s="58"/>
      <c r="D22" s="58"/>
      <c r="E22" s="59"/>
      <c r="F22" s="60" t="s">
        <v>34</v>
      </c>
      <c r="G22" s="15"/>
      <c r="H22" s="61"/>
      <c r="I22" s="58"/>
      <c r="J22" s="58"/>
      <c r="K22" s="58"/>
      <c r="L22" s="58"/>
      <c r="M22" s="58"/>
      <c r="N22" s="1"/>
      <c r="O22" s="1"/>
      <c r="P22" s="49" t="s">
        <v>35</v>
      </c>
      <c r="Q22" s="12"/>
      <c r="R22" s="12"/>
      <c r="S22" s="12"/>
      <c r="T22" s="12"/>
      <c r="U22" s="12"/>
      <c r="V22" s="12"/>
      <c r="W22" s="12"/>
      <c r="X22" s="12"/>
      <c r="Y22" s="12"/>
      <c r="Z22" s="13"/>
    </row>
    <row r="23" ht="14.25" customHeight="1">
      <c r="A23" s="1"/>
      <c r="B23" s="48"/>
      <c r="C23" s="48"/>
      <c r="D23" s="48"/>
      <c r="E23" s="59"/>
      <c r="F23" s="62" t="s">
        <v>36</v>
      </c>
      <c r="G23" s="30"/>
      <c r="H23" s="47"/>
      <c r="I23" s="48"/>
      <c r="J23" s="48"/>
      <c r="K23" s="48"/>
      <c r="L23" s="48"/>
      <c r="M23" s="58"/>
      <c r="N23" s="1"/>
      <c r="O23" s="1"/>
      <c r="P23" s="49" t="s">
        <v>37</v>
      </c>
      <c r="Q23" s="12"/>
      <c r="R23" s="12"/>
      <c r="S23" s="12"/>
      <c r="T23" s="12"/>
      <c r="U23" s="12"/>
      <c r="V23" s="12"/>
      <c r="W23" s="12"/>
      <c r="X23" s="12"/>
      <c r="Y23" s="12"/>
      <c r="Z23" s="13"/>
    </row>
    <row r="24" ht="14.25" customHeight="1">
      <c r="A24" s="1"/>
      <c r="B24" s="50"/>
      <c r="C24" s="43"/>
      <c r="D24" s="43"/>
      <c r="E24" s="59"/>
      <c r="F24" s="63" t="s">
        <v>38</v>
      </c>
      <c r="G24" s="6"/>
      <c r="H24" s="53"/>
      <c r="I24" s="54">
        <v>2.0</v>
      </c>
      <c r="J24" s="43"/>
      <c r="K24" s="55">
        <v>0.402</v>
      </c>
      <c r="L24" s="56">
        <f>((H24*K24)+(I24*K24)+(J24*K24))</f>
        <v>0.804</v>
      </c>
      <c r="M24" s="58"/>
      <c r="N24" s="1"/>
      <c r="O24" s="1"/>
      <c r="P24" s="49" t="s">
        <v>39</v>
      </c>
      <c r="Q24" s="12"/>
      <c r="R24" s="12"/>
      <c r="S24" s="12"/>
      <c r="T24" s="12"/>
      <c r="U24" s="12"/>
      <c r="V24" s="12"/>
      <c r="W24" s="12"/>
      <c r="X24" s="12"/>
      <c r="Y24" s="12"/>
      <c r="Z24" s="13"/>
    </row>
    <row r="25" ht="14.25" customHeight="1">
      <c r="A25" s="1"/>
      <c r="B25" s="58"/>
      <c r="C25" s="58"/>
      <c r="D25" s="58"/>
      <c r="E25" s="59"/>
      <c r="F25" s="60" t="s">
        <v>40</v>
      </c>
      <c r="G25" s="15"/>
      <c r="H25" s="61"/>
      <c r="I25" s="58"/>
      <c r="J25" s="58"/>
      <c r="K25" s="58"/>
      <c r="L25" s="58"/>
      <c r="M25" s="58"/>
      <c r="N25" s="1"/>
      <c r="O25" s="1"/>
      <c r="P25" s="49" t="s">
        <v>41</v>
      </c>
      <c r="Q25" s="12"/>
      <c r="R25" s="12"/>
      <c r="S25" s="12"/>
      <c r="T25" s="12"/>
      <c r="U25" s="12"/>
      <c r="V25" s="12"/>
      <c r="W25" s="12"/>
      <c r="X25" s="12"/>
      <c r="Y25" s="12"/>
      <c r="Z25" s="13"/>
    </row>
    <row r="26" ht="14.25" customHeight="1">
      <c r="A26" s="1"/>
      <c r="B26" s="48"/>
      <c r="C26" s="48"/>
      <c r="D26" s="48"/>
      <c r="E26" s="59"/>
      <c r="F26" s="62" t="s">
        <v>42</v>
      </c>
      <c r="G26" s="30"/>
      <c r="H26" s="47"/>
      <c r="I26" s="48"/>
      <c r="J26" s="48"/>
      <c r="K26" s="48"/>
      <c r="L26" s="48"/>
      <c r="M26" s="58"/>
      <c r="N26" s="1"/>
      <c r="O26" s="1"/>
      <c r="P26" s="49" t="s">
        <v>43</v>
      </c>
      <c r="Q26" s="12"/>
      <c r="R26" s="12"/>
      <c r="S26" s="12"/>
      <c r="T26" s="12"/>
      <c r="U26" s="12"/>
      <c r="V26" s="12"/>
      <c r="W26" s="12"/>
      <c r="X26" s="12"/>
      <c r="Y26" s="12"/>
      <c r="Z26" s="13"/>
    </row>
    <row r="27" ht="14.25" customHeight="1">
      <c r="A27" s="1"/>
      <c r="B27" s="50"/>
      <c r="C27" s="43"/>
      <c r="D27" s="43"/>
      <c r="E27" s="59"/>
      <c r="F27" s="63" t="s">
        <v>44</v>
      </c>
      <c r="G27" s="6"/>
      <c r="H27" s="53"/>
      <c r="I27" s="54">
        <v>2.0</v>
      </c>
      <c r="J27" s="43"/>
      <c r="K27" s="55">
        <v>0.1455</v>
      </c>
      <c r="L27" s="56">
        <f>((H27*K27)+(I27*K27)+(J27*K27))</f>
        <v>0.291</v>
      </c>
      <c r="M27" s="58"/>
      <c r="N27" s="1"/>
      <c r="O27" s="1"/>
      <c r="P27" s="49" t="s">
        <v>45</v>
      </c>
      <c r="Q27" s="12"/>
      <c r="R27" s="12"/>
      <c r="S27" s="12"/>
      <c r="T27" s="12"/>
      <c r="U27" s="12"/>
      <c r="V27" s="12"/>
      <c r="W27" s="12"/>
      <c r="X27" s="12"/>
      <c r="Y27" s="12"/>
      <c r="Z27" s="13"/>
    </row>
    <row r="28" ht="14.25" customHeight="1">
      <c r="A28" s="1"/>
      <c r="B28" s="58"/>
      <c r="C28" s="58"/>
      <c r="D28" s="58"/>
      <c r="E28" s="59"/>
      <c r="F28" s="60" t="s">
        <v>46</v>
      </c>
      <c r="G28" s="15"/>
      <c r="H28" s="61"/>
      <c r="I28" s="58"/>
      <c r="J28" s="58"/>
      <c r="K28" s="58"/>
      <c r="L28" s="58"/>
      <c r="M28" s="58"/>
      <c r="N28" s="1"/>
      <c r="O28" s="1"/>
      <c r="P28" s="49" t="s">
        <v>47</v>
      </c>
      <c r="Q28" s="12"/>
      <c r="R28" s="12"/>
      <c r="S28" s="12"/>
      <c r="T28" s="12"/>
      <c r="U28" s="12"/>
      <c r="V28" s="12"/>
      <c r="W28" s="12"/>
      <c r="X28" s="12"/>
      <c r="Y28" s="12"/>
      <c r="Z28" s="13"/>
    </row>
    <row r="29" ht="14.25" customHeight="1">
      <c r="A29" s="1"/>
      <c r="B29" s="48"/>
      <c r="C29" s="48"/>
      <c r="D29" s="48"/>
      <c r="E29" s="59"/>
      <c r="F29" s="62" t="s">
        <v>48</v>
      </c>
      <c r="G29" s="30"/>
      <c r="H29" s="47"/>
      <c r="I29" s="48"/>
      <c r="J29" s="48"/>
      <c r="K29" s="48"/>
      <c r="L29" s="48"/>
      <c r="M29" s="58"/>
      <c r="N29" s="1"/>
      <c r="O29" s="1"/>
      <c r="P29" s="49" t="s">
        <v>49</v>
      </c>
      <c r="Q29" s="12"/>
      <c r="R29" s="12"/>
      <c r="S29" s="12"/>
      <c r="T29" s="12"/>
      <c r="U29" s="12"/>
      <c r="V29" s="12"/>
      <c r="W29" s="12"/>
      <c r="X29" s="12"/>
      <c r="Y29" s="12"/>
      <c r="Z29" s="13"/>
    </row>
    <row r="30" ht="14.25" customHeight="1">
      <c r="A30" s="1"/>
      <c r="B30" s="50"/>
      <c r="C30" s="43"/>
      <c r="D30" s="43"/>
      <c r="E30" s="59"/>
      <c r="F30" s="63" t="s">
        <v>50</v>
      </c>
      <c r="G30" s="6"/>
      <c r="H30" s="64">
        <v>1.0</v>
      </c>
      <c r="I30" s="43"/>
      <c r="J30" s="43"/>
      <c r="K30" s="55">
        <v>0.3947</v>
      </c>
      <c r="L30" s="56">
        <f>((H30*K30)+(I30*K30)+(J30*K30))</f>
        <v>0.3947</v>
      </c>
      <c r="M30" s="58"/>
      <c r="N30" s="1"/>
      <c r="O30" s="1"/>
      <c r="P30" s="65"/>
      <c r="Q30" s="65"/>
      <c r="R30" s="65"/>
      <c r="S30" s="65"/>
      <c r="T30" s="65"/>
      <c r="U30" s="65"/>
      <c r="V30" s="1"/>
      <c r="W30" s="1"/>
      <c r="X30" s="1"/>
      <c r="Y30" s="1"/>
      <c r="Z30" s="1"/>
    </row>
    <row r="31" ht="14.25" customHeight="1">
      <c r="A31" s="1"/>
      <c r="B31" s="58"/>
      <c r="C31" s="58"/>
      <c r="D31" s="58"/>
      <c r="E31" s="59"/>
      <c r="F31" s="60" t="s">
        <v>51</v>
      </c>
      <c r="G31" s="15"/>
      <c r="H31" s="61"/>
      <c r="I31" s="58"/>
      <c r="J31" s="58"/>
      <c r="K31" s="58"/>
      <c r="L31" s="58"/>
      <c r="M31" s="58"/>
      <c r="N31" s="1"/>
      <c r="O31" s="1"/>
      <c r="P31" s="1"/>
      <c r="Q31" s="1"/>
      <c r="R31" s="1"/>
      <c r="S31" s="1"/>
      <c r="T31" s="1"/>
      <c r="U31" s="1"/>
      <c r="V31" s="1"/>
      <c r="W31" s="1"/>
      <c r="X31" s="1"/>
      <c r="Y31" s="1"/>
      <c r="Z31" s="1"/>
    </row>
    <row r="32" ht="14.25" customHeight="1">
      <c r="A32" s="1"/>
      <c r="B32" s="48"/>
      <c r="C32" s="48"/>
      <c r="D32" s="48"/>
      <c r="E32" s="46"/>
      <c r="F32" s="62" t="s">
        <v>52</v>
      </c>
      <c r="G32" s="30"/>
      <c r="H32" s="47"/>
      <c r="I32" s="48"/>
      <c r="J32" s="48"/>
      <c r="K32" s="48"/>
      <c r="L32" s="48"/>
      <c r="M32" s="48"/>
      <c r="N32" s="1"/>
      <c r="O32" s="1"/>
      <c r="P32" s="1"/>
      <c r="Q32" s="1"/>
      <c r="R32" s="1"/>
      <c r="S32" s="1"/>
      <c r="T32" s="1"/>
      <c r="U32" s="1"/>
      <c r="V32" s="1"/>
      <c r="W32" s="1"/>
      <c r="X32" s="1"/>
      <c r="Y32" s="1"/>
      <c r="Z32" s="1"/>
    </row>
    <row r="33" ht="14.25" customHeight="1">
      <c r="A33" s="1"/>
      <c r="B33" s="43"/>
      <c r="C33" s="50"/>
      <c r="D33" s="43"/>
      <c r="E33" s="51" t="s">
        <v>53</v>
      </c>
      <c r="F33" s="52" t="s">
        <v>54</v>
      </c>
      <c r="G33" s="6"/>
      <c r="H33" s="53"/>
      <c r="I33" s="54">
        <v>2.0</v>
      </c>
      <c r="J33" s="43"/>
      <c r="K33" s="66">
        <v>0.6586</v>
      </c>
      <c r="L33" s="67">
        <f>((H33*K33)+(I33*K33)+(J33*K33))</f>
        <v>1.3172</v>
      </c>
      <c r="M33" s="57">
        <f>SUM(L33:L38)</f>
        <v>2</v>
      </c>
      <c r="N33" s="1"/>
      <c r="O33" s="1"/>
      <c r="P33" s="1"/>
      <c r="Q33" s="1"/>
      <c r="R33" s="1"/>
      <c r="S33" s="1"/>
      <c r="T33" s="1"/>
      <c r="U33" s="1"/>
      <c r="V33" s="1"/>
      <c r="W33" s="1"/>
      <c r="X33" s="1"/>
      <c r="Y33" s="1"/>
      <c r="Z33" s="1"/>
    </row>
    <row r="34" ht="14.25" customHeight="1">
      <c r="A34" s="1"/>
      <c r="B34" s="58"/>
      <c r="C34" s="58"/>
      <c r="D34" s="58"/>
      <c r="E34" s="59"/>
      <c r="F34" s="60" t="s">
        <v>55</v>
      </c>
      <c r="G34" s="15"/>
      <c r="H34" s="61"/>
      <c r="I34" s="58"/>
      <c r="J34" s="58"/>
      <c r="K34" s="58"/>
      <c r="L34" s="58"/>
      <c r="M34" s="58"/>
      <c r="N34" s="1"/>
      <c r="O34" s="1"/>
      <c r="P34" s="1"/>
      <c r="Q34" s="1"/>
      <c r="R34" s="1"/>
      <c r="S34" s="1"/>
      <c r="T34" s="1"/>
      <c r="U34" s="1"/>
      <c r="V34" s="1"/>
      <c r="W34" s="1"/>
      <c r="X34" s="1"/>
      <c r="Y34" s="1"/>
      <c r="Z34" s="1"/>
    </row>
    <row r="35" ht="14.25" customHeight="1">
      <c r="A35" s="1"/>
      <c r="B35" s="48"/>
      <c r="C35" s="48"/>
      <c r="D35" s="48"/>
      <c r="E35" s="59"/>
      <c r="F35" s="68" t="s">
        <v>56</v>
      </c>
      <c r="G35" s="30"/>
      <c r="H35" s="47"/>
      <c r="I35" s="48"/>
      <c r="J35" s="48"/>
      <c r="K35" s="48"/>
      <c r="L35" s="48"/>
      <c r="M35" s="58"/>
      <c r="N35" s="1"/>
      <c r="O35" s="1"/>
      <c r="P35" s="1"/>
      <c r="Q35" s="1"/>
      <c r="R35" s="1"/>
      <c r="S35" s="1"/>
      <c r="T35" s="1"/>
      <c r="U35" s="1"/>
      <c r="V35" s="1"/>
      <c r="W35" s="1"/>
      <c r="X35" s="1"/>
      <c r="Y35" s="1"/>
      <c r="Z35" s="1"/>
    </row>
    <row r="36" ht="14.25" customHeight="1">
      <c r="A36" s="1"/>
      <c r="B36" s="43"/>
      <c r="C36" s="50"/>
      <c r="D36" s="43"/>
      <c r="E36" s="59"/>
      <c r="F36" s="52" t="s">
        <v>57</v>
      </c>
      <c r="G36" s="6"/>
      <c r="H36" s="53"/>
      <c r="I36" s="54">
        <v>2.0</v>
      </c>
      <c r="J36" s="43"/>
      <c r="K36" s="66">
        <v>0.3414</v>
      </c>
      <c r="L36" s="67">
        <f>((H36*K36)+(I36*K36)+(J36*K36))</f>
        <v>0.6828</v>
      </c>
      <c r="M36" s="58"/>
      <c r="N36" s="1"/>
      <c r="O36" s="1"/>
      <c r="P36" s="1"/>
      <c r="Q36" s="1"/>
      <c r="R36" s="1"/>
      <c r="S36" s="1"/>
      <c r="T36" s="1"/>
      <c r="U36" s="1"/>
      <c r="V36" s="1"/>
      <c r="W36" s="1"/>
      <c r="X36" s="1"/>
      <c r="Y36" s="1"/>
      <c r="Z36" s="1"/>
    </row>
    <row r="37" ht="14.25" customHeight="1">
      <c r="A37" s="1"/>
      <c r="B37" s="58"/>
      <c r="C37" s="58"/>
      <c r="D37" s="58"/>
      <c r="E37" s="59"/>
      <c r="F37" s="60" t="s">
        <v>58</v>
      </c>
      <c r="G37" s="15"/>
      <c r="H37" s="61"/>
      <c r="I37" s="58"/>
      <c r="J37" s="58"/>
      <c r="K37" s="58"/>
      <c r="L37" s="58"/>
      <c r="M37" s="58"/>
      <c r="N37" s="1"/>
      <c r="O37" s="1"/>
      <c r="P37" s="1"/>
      <c r="Q37" s="1"/>
      <c r="R37" s="1"/>
      <c r="S37" s="1"/>
      <c r="T37" s="1"/>
      <c r="U37" s="1"/>
      <c r="V37" s="1"/>
      <c r="W37" s="1"/>
      <c r="X37" s="1"/>
      <c r="Y37" s="1"/>
      <c r="Z37" s="1"/>
    </row>
    <row r="38" ht="14.25" customHeight="1">
      <c r="A38" s="1"/>
      <c r="B38" s="48"/>
      <c r="C38" s="48"/>
      <c r="D38" s="48"/>
      <c r="E38" s="46"/>
      <c r="F38" s="62" t="s">
        <v>59</v>
      </c>
      <c r="G38" s="30"/>
      <c r="H38" s="47"/>
      <c r="I38" s="48"/>
      <c r="J38" s="48"/>
      <c r="K38" s="48"/>
      <c r="L38" s="48"/>
      <c r="M38" s="48"/>
      <c r="N38" s="1"/>
      <c r="O38" s="1"/>
      <c r="P38" s="1"/>
      <c r="Q38" s="1"/>
      <c r="R38" s="1"/>
      <c r="S38" s="1"/>
      <c r="T38" s="1"/>
      <c r="U38" s="1"/>
      <c r="V38" s="1"/>
      <c r="W38" s="1"/>
      <c r="X38" s="1"/>
      <c r="Y38" s="1"/>
      <c r="Z38" s="1"/>
    </row>
    <row r="39" ht="14.25" customHeight="1">
      <c r="A39" s="1"/>
      <c r="B39" s="43"/>
      <c r="C39" s="43"/>
      <c r="D39" s="50"/>
      <c r="E39" s="51" t="s">
        <v>60</v>
      </c>
      <c r="F39" s="52" t="s">
        <v>61</v>
      </c>
      <c r="G39" s="6"/>
      <c r="H39" s="64">
        <v>1.0</v>
      </c>
      <c r="I39" s="43"/>
      <c r="J39" s="43"/>
      <c r="K39" s="55">
        <v>0.1119</v>
      </c>
      <c r="L39" s="56">
        <f>((H39*K39)+(I39*K39)+(J39*K39))</f>
        <v>0.1119</v>
      </c>
      <c r="M39" s="57">
        <f>SUM(L39:L56)</f>
        <v>1.7667</v>
      </c>
      <c r="N39" s="1"/>
      <c r="O39" s="1"/>
      <c r="P39" s="1"/>
      <c r="Q39" s="1"/>
      <c r="R39" s="1"/>
      <c r="S39" s="1"/>
      <c r="T39" s="1"/>
      <c r="U39" s="1"/>
      <c r="V39" s="1"/>
      <c r="W39" s="1"/>
      <c r="X39" s="1"/>
      <c r="Y39" s="1"/>
      <c r="Z39" s="1"/>
    </row>
    <row r="40" ht="14.25" customHeight="1">
      <c r="A40" s="1"/>
      <c r="B40" s="58"/>
      <c r="C40" s="58"/>
      <c r="D40" s="58"/>
      <c r="E40" s="59"/>
      <c r="F40" s="60" t="s">
        <v>62</v>
      </c>
      <c r="G40" s="15"/>
      <c r="H40" s="61"/>
      <c r="I40" s="58"/>
      <c r="J40" s="58"/>
      <c r="K40" s="58"/>
      <c r="L40" s="58"/>
      <c r="M40" s="58"/>
      <c r="N40" s="1"/>
      <c r="O40" s="1"/>
      <c r="P40" s="1"/>
      <c r="Q40" s="1"/>
      <c r="R40" s="1"/>
      <c r="S40" s="1"/>
      <c r="T40" s="1"/>
      <c r="U40" s="1"/>
      <c r="V40" s="1"/>
      <c r="W40" s="1"/>
      <c r="X40" s="1"/>
      <c r="Y40" s="1"/>
      <c r="Z40" s="1"/>
    </row>
    <row r="41" ht="14.25" customHeight="1">
      <c r="A41" s="1"/>
      <c r="B41" s="48"/>
      <c r="C41" s="48"/>
      <c r="D41" s="48"/>
      <c r="E41" s="59"/>
      <c r="F41" s="62" t="s">
        <v>63</v>
      </c>
      <c r="G41" s="30"/>
      <c r="H41" s="47"/>
      <c r="I41" s="48"/>
      <c r="J41" s="48"/>
      <c r="K41" s="48"/>
      <c r="L41" s="48"/>
      <c r="M41" s="58"/>
      <c r="N41" s="1"/>
      <c r="O41" s="1"/>
      <c r="P41" s="1"/>
      <c r="Q41" s="1"/>
      <c r="R41" s="1"/>
      <c r="S41" s="1"/>
      <c r="T41" s="1"/>
      <c r="U41" s="1"/>
      <c r="V41" s="1"/>
      <c r="W41" s="1"/>
      <c r="X41" s="1"/>
      <c r="Y41" s="1"/>
      <c r="Z41" s="1"/>
    </row>
    <row r="42" ht="14.25" customHeight="1">
      <c r="A42" s="1"/>
      <c r="B42" s="43"/>
      <c r="C42" s="43"/>
      <c r="D42" s="50"/>
      <c r="E42" s="59"/>
      <c r="F42" s="52" t="s">
        <v>64</v>
      </c>
      <c r="G42" s="6"/>
      <c r="H42" s="64">
        <v>1.0</v>
      </c>
      <c r="I42" s="43"/>
      <c r="J42" s="43"/>
      <c r="K42" s="55">
        <v>0.1656</v>
      </c>
      <c r="L42" s="56">
        <f>((H42*K42)+(I42*K42)+(J42*K42))</f>
        <v>0.1656</v>
      </c>
      <c r="M42" s="58"/>
      <c r="N42" s="1"/>
      <c r="O42" s="1"/>
      <c r="P42" s="1"/>
      <c r="Q42" s="1"/>
      <c r="R42" s="1"/>
      <c r="S42" s="1"/>
      <c r="T42" s="1"/>
      <c r="U42" s="1"/>
      <c r="V42" s="1"/>
      <c r="W42" s="1"/>
      <c r="X42" s="1"/>
      <c r="Y42" s="1"/>
      <c r="Z42" s="1"/>
    </row>
    <row r="43" ht="14.25" customHeight="1">
      <c r="A43" s="1"/>
      <c r="B43" s="58"/>
      <c r="C43" s="58"/>
      <c r="D43" s="58"/>
      <c r="E43" s="59"/>
      <c r="F43" s="60" t="s">
        <v>65</v>
      </c>
      <c r="G43" s="15"/>
      <c r="H43" s="61"/>
      <c r="I43" s="58"/>
      <c r="J43" s="58"/>
      <c r="K43" s="58"/>
      <c r="L43" s="58"/>
      <c r="M43" s="58"/>
      <c r="N43" s="1"/>
      <c r="O43" s="1"/>
      <c r="P43" s="1"/>
      <c r="Q43" s="1"/>
      <c r="R43" s="1"/>
      <c r="S43" s="1"/>
      <c r="T43" s="1"/>
      <c r="U43" s="1"/>
      <c r="V43" s="1"/>
      <c r="W43" s="1"/>
      <c r="X43" s="1"/>
      <c r="Y43" s="1"/>
      <c r="Z43" s="1"/>
    </row>
    <row r="44" ht="14.25" customHeight="1">
      <c r="A44" s="1"/>
      <c r="B44" s="48"/>
      <c r="C44" s="48"/>
      <c r="D44" s="48"/>
      <c r="E44" s="59"/>
      <c r="F44" s="68" t="s">
        <v>66</v>
      </c>
      <c r="G44" s="30"/>
      <c r="H44" s="47"/>
      <c r="I44" s="48"/>
      <c r="J44" s="48"/>
      <c r="K44" s="48"/>
      <c r="L44" s="48"/>
      <c r="M44" s="58"/>
      <c r="N44" s="1"/>
      <c r="O44" s="1"/>
      <c r="P44" s="1"/>
      <c r="Q44" s="1"/>
      <c r="R44" s="1"/>
      <c r="S44" s="1"/>
      <c r="T44" s="1"/>
      <c r="U44" s="1"/>
      <c r="V44" s="1"/>
      <c r="W44" s="1"/>
      <c r="X44" s="1"/>
      <c r="Y44" s="1"/>
      <c r="Z44" s="1"/>
    </row>
    <row r="45" ht="14.25" customHeight="1">
      <c r="A45" s="1"/>
      <c r="B45" s="43"/>
      <c r="C45" s="43"/>
      <c r="D45" s="50"/>
      <c r="E45" s="59"/>
      <c r="F45" s="52" t="s">
        <v>67</v>
      </c>
      <c r="G45" s="6"/>
      <c r="H45" s="64">
        <v>1.0</v>
      </c>
      <c r="I45" s="43"/>
      <c r="J45" s="54"/>
      <c r="K45" s="55">
        <v>0.1376</v>
      </c>
      <c r="L45" s="56">
        <f>((H45*K45)+(I45*K45)+(J45*K45))</f>
        <v>0.1376</v>
      </c>
      <c r="M45" s="58"/>
      <c r="N45" s="1"/>
      <c r="O45" s="1"/>
      <c r="P45" s="1"/>
      <c r="Q45" s="1"/>
      <c r="R45" s="1"/>
      <c r="S45" s="1"/>
      <c r="T45" s="1"/>
      <c r="U45" s="1"/>
      <c r="V45" s="1"/>
      <c r="W45" s="1"/>
      <c r="X45" s="1"/>
      <c r="Y45" s="1"/>
      <c r="Z45" s="1"/>
    </row>
    <row r="46" ht="14.25" customHeight="1">
      <c r="A46" s="1"/>
      <c r="B46" s="58"/>
      <c r="C46" s="58"/>
      <c r="D46" s="58"/>
      <c r="E46" s="59"/>
      <c r="F46" s="60" t="s">
        <v>68</v>
      </c>
      <c r="G46" s="15"/>
      <c r="H46" s="61"/>
      <c r="I46" s="58"/>
      <c r="J46" s="58"/>
      <c r="K46" s="58"/>
      <c r="L46" s="58"/>
      <c r="M46" s="58"/>
      <c r="N46" s="1"/>
      <c r="O46" s="1"/>
      <c r="P46" s="1"/>
      <c r="Q46" s="1"/>
      <c r="R46" s="1"/>
      <c r="S46" s="1"/>
      <c r="T46" s="1"/>
      <c r="U46" s="1"/>
      <c r="V46" s="1"/>
      <c r="W46" s="1"/>
      <c r="X46" s="1"/>
      <c r="Y46" s="1"/>
      <c r="Z46" s="1"/>
    </row>
    <row r="47" ht="14.25" customHeight="1">
      <c r="A47" s="1"/>
      <c r="B47" s="48"/>
      <c r="C47" s="48"/>
      <c r="D47" s="48"/>
      <c r="E47" s="59"/>
      <c r="F47" s="68" t="s">
        <v>69</v>
      </c>
      <c r="G47" s="30"/>
      <c r="H47" s="47"/>
      <c r="I47" s="48"/>
      <c r="J47" s="48"/>
      <c r="K47" s="48"/>
      <c r="L47" s="48"/>
      <c r="M47" s="58"/>
      <c r="N47" s="1"/>
      <c r="O47" s="1"/>
      <c r="P47" s="1"/>
      <c r="Q47" s="1"/>
      <c r="R47" s="1"/>
      <c r="S47" s="1"/>
      <c r="T47" s="1"/>
      <c r="U47" s="1"/>
      <c r="V47" s="1"/>
      <c r="W47" s="1"/>
      <c r="X47" s="1"/>
      <c r="Y47" s="1"/>
      <c r="Z47" s="1"/>
    </row>
    <row r="48" ht="14.25" customHeight="1">
      <c r="A48" s="1"/>
      <c r="B48" s="43"/>
      <c r="C48" s="43"/>
      <c r="D48" s="50"/>
      <c r="E48" s="59"/>
      <c r="F48" s="52" t="s">
        <v>70</v>
      </c>
      <c r="G48" s="6"/>
      <c r="H48" s="53"/>
      <c r="I48" s="54">
        <v>2.0</v>
      </c>
      <c r="J48" s="43"/>
      <c r="K48" s="55">
        <v>0.2844</v>
      </c>
      <c r="L48" s="56">
        <f>((H48*K48)+(I48*K48)+(J48*K48))</f>
        <v>0.5688</v>
      </c>
      <c r="M48" s="58"/>
      <c r="N48" s="1"/>
      <c r="O48" s="1"/>
      <c r="P48" s="1"/>
      <c r="Q48" s="1"/>
      <c r="R48" s="1"/>
      <c r="S48" s="1"/>
      <c r="T48" s="1"/>
      <c r="U48" s="1"/>
      <c r="V48" s="1"/>
      <c r="W48" s="1"/>
      <c r="X48" s="1"/>
      <c r="Y48" s="1"/>
      <c r="Z48" s="1"/>
    </row>
    <row r="49" ht="14.25" customHeight="1">
      <c r="A49" s="1"/>
      <c r="B49" s="58"/>
      <c r="C49" s="58"/>
      <c r="D49" s="58"/>
      <c r="E49" s="59"/>
      <c r="F49" s="60" t="s">
        <v>71</v>
      </c>
      <c r="G49" s="15"/>
      <c r="H49" s="61"/>
      <c r="I49" s="58"/>
      <c r="J49" s="58"/>
      <c r="K49" s="58"/>
      <c r="L49" s="58"/>
      <c r="M49" s="58"/>
      <c r="N49" s="1"/>
      <c r="O49" s="1"/>
      <c r="P49" s="1"/>
      <c r="Q49" s="1"/>
      <c r="R49" s="1"/>
      <c r="S49" s="1"/>
      <c r="T49" s="1"/>
      <c r="U49" s="1"/>
      <c r="V49" s="1"/>
      <c r="W49" s="1"/>
      <c r="X49" s="1"/>
      <c r="Y49" s="1"/>
      <c r="Z49" s="1"/>
    </row>
    <row r="50" ht="14.25" customHeight="1">
      <c r="A50" s="1"/>
      <c r="B50" s="48"/>
      <c r="C50" s="48"/>
      <c r="D50" s="48"/>
      <c r="E50" s="59"/>
      <c r="F50" s="62" t="s">
        <v>72</v>
      </c>
      <c r="G50" s="30"/>
      <c r="H50" s="47"/>
      <c r="I50" s="48"/>
      <c r="J50" s="48"/>
      <c r="K50" s="48"/>
      <c r="L50" s="48"/>
      <c r="M50" s="58"/>
      <c r="N50" s="1"/>
      <c r="O50" s="1"/>
      <c r="P50" s="1"/>
      <c r="Q50" s="1"/>
      <c r="R50" s="1"/>
      <c r="S50" s="1"/>
      <c r="T50" s="1"/>
      <c r="U50" s="1"/>
      <c r="V50" s="1"/>
      <c r="W50" s="1"/>
      <c r="X50" s="1"/>
      <c r="Y50" s="1"/>
      <c r="Z50" s="1"/>
    </row>
    <row r="51" ht="14.25" customHeight="1">
      <c r="A51" s="1"/>
      <c r="B51" s="43"/>
      <c r="C51" s="43"/>
      <c r="D51" s="50"/>
      <c r="E51" s="59"/>
      <c r="F51" s="52" t="s">
        <v>73</v>
      </c>
      <c r="G51" s="6"/>
      <c r="H51" s="53"/>
      <c r="I51" s="54">
        <v>2.0</v>
      </c>
      <c r="J51" s="43"/>
      <c r="K51" s="55">
        <v>0.1184</v>
      </c>
      <c r="L51" s="56">
        <f>((H51*K51)+(I51*K51)+(J51*K51))</f>
        <v>0.2368</v>
      </c>
      <c r="M51" s="58"/>
      <c r="N51" s="1"/>
      <c r="O51" s="1"/>
      <c r="P51" s="1"/>
      <c r="Q51" s="1"/>
      <c r="R51" s="1"/>
      <c r="S51" s="1"/>
      <c r="T51" s="1"/>
      <c r="U51" s="1"/>
      <c r="V51" s="1"/>
      <c r="W51" s="1"/>
      <c r="X51" s="1"/>
      <c r="Y51" s="1"/>
      <c r="Z51" s="1"/>
    </row>
    <row r="52" ht="14.25" customHeight="1">
      <c r="A52" s="1"/>
      <c r="B52" s="58"/>
      <c r="C52" s="58"/>
      <c r="D52" s="58"/>
      <c r="E52" s="59"/>
      <c r="F52" s="60" t="s">
        <v>74</v>
      </c>
      <c r="G52" s="15"/>
      <c r="H52" s="61"/>
      <c r="I52" s="58"/>
      <c r="J52" s="58"/>
      <c r="K52" s="58"/>
      <c r="L52" s="58"/>
      <c r="M52" s="58"/>
      <c r="N52" s="1"/>
      <c r="O52" s="1"/>
      <c r="P52" s="1"/>
      <c r="Q52" s="1"/>
      <c r="R52" s="1"/>
      <c r="S52" s="1"/>
      <c r="T52" s="1"/>
      <c r="U52" s="1"/>
      <c r="V52" s="1"/>
      <c r="W52" s="1"/>
      <c r="X52" s="1"/>
      <c r="Y52" s="1"/>
      <c r="Z52" s="1"/>
    </row>
    <row r="53" ht="14.25" customHeight="1">
      <c r="A53" s="1"/>
      <c r="B53" s="48"/>
      <c r="C53" s="48"/>
      <c r="D53" s="48"/>
      <c r="E53" s="59"/>
      <c r="F53" s="62" t="s">
        <v>75</v>
      </c>
      <c r="G53" s="30"/>
      <c r="H53" s="47"/>
      <c r="I53" s="48"/>
      <c r="J53" s="48"/>
      <c r="K53" s="48"/>
      <c r="L53" s="48"/>
      <c r="M53" s="58"/>
      <c r="N53" s="1"/>
      <c r="O53" s="1"/>
      <c r="P53" s="1"/>
      <c r="Q53" s="1"/>
      <c r="R53" s="1"/>
      <c r="S53" s="1"/>
      <c r="T53" s="1"/>
      <c r="U53" s="1"/>
      <c r="V53" s="1"/>
      <c r="W53" s="1"/>
      <c r="X53" s="1"/>
      <c r="Y53" s="1"/>
      <c r="Z53" s="1"/>
    </row>
    <row r="54" ht="14.25" customHeight="1">
      <c r="A54" s="1"/>
      <c r="B54" s="43"/>
      <c r="C54" s="43"/>
      <c r="D54" s="50"/>
      <c r="E54" s="59"/>
      <c r="F54" s="52" t="s">
        <v>76</v>
      </c>
      <c r="G54" s="6"/>
      <c r="H54" s="53"/>
      <c r="I54" s="54"/>
      <c r="J54" s="54">
        <v>3.0</v>
      </c>
      <c r="K54" s="55">
        <v>0.182</v>
      </c>
      <c r="L54" s="56">
        <f>((H54*K54)+(I54*K54)+(J54*K54))</f>
        <v>0.546</v>
      </c>
      <c r="M54" s="58"/>
      <c r="N54" s="1"/>
      <c r="O54" s="1"/>
      <c r="P54" s="1"/>
      <c r="Q54" s="1"/>
      <c r="R54" s="1"/>
      <c r="S54" s="1"/>
      <c r="T54" s="1"/>
      <c r="U54" s="1"/>
      <c r="V54" s="1"/>
      <c r="W54" s="1"/>
      <c r="X54" s="1"/>
      <c r="Y54" s="1"/>
      <c r="Z54" s="1"/>
    </row>
    <row r="55" ht="14.25" customHeight="1">
      <c r="A55" s="1"/>
      <c r="B55" s="58"/>
      <c r="C55" s="58"/>
      <c r="D55" s="58"/>
      <c r="E55" s="59"/>
      <c r="F55" s="60" t="s">
        <v>77</v>
      </c>
      <c r="G55" s="15"/>
      <c r="H55" s="61"/>
      <c r="I55" s="58"/>
      <c r="J55" s="58"/>
      <c r="K55" s="58"/>
      <c r="L55" s="58"/>
      <c r="M55" s="58"/>
      <c r="N55" s="1"/>
      <c r="O55" s="1"/>
      <c r="P55" s="1"/>
      <c r="Q55" s="1"/>
      <c r="R55" s="1"/>
      <c r="S55" s="1"/>
      <c r="T55" s="1"/>
      <c r="U55" s="1"/>
      <c r="V55" s="1"/>
      <c r="W55" s="1"/>
      <c r="X55" s="1"/>
      <c r="Y55" s="1"/>
      <c r="Z55" s="1"/>
    </row>
    <row r="56" ht="14.25" customHeight="1">
      <c r="A56" s="1"/>
      <c r="B56" s="48"/>
      <c r="C56" s="48"/>
      <c r="D56" s="48"/>
      <c r="E56" s="46"/>
      <c r="F56" s="62" t="s">
        <v>78</v>
      </c>
      <c r="G56" s="30"/>
      <c r="H56" s="47"/>
      <c r="I56" s="48"/>
      <c r="J56" s="48"/>
      <c r="K56" s="48"/>
      <c r="L56" s="48"/>
      <c r="M56" s="48"/>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38" t="s">
        <v>79</v>
      </c>
      <c r="C60" s="12"/>
      <c r="D60" s="12"/>
      <c r="E60" s="12"/>
      <c r="F60" s="12"/>
      <c r="G60" s="12"/>
      <c r="H60" s="12"/>
      <c r="I60" s="12"/>
      <c r="J60" s="12"/>
      <c r="K60" s="12"/>
      <c r="L60" s="12"/>
      <c r="M60" s="13"/>
      <c r="N60" s="1"/>
      <c r="O60" s="1"/>
      <c r="P60" s="1"/>
      <c r="Q60" s="1"/>
      <c r="R60" s="1"/>
      <c r="S60" s="1"/>
      <c r="T60" s="1"/>
      <c r="U60" s="1"/>
      <c r="V60" s="1"/>
      <c r="W60" s="1"/>
      <c r="X60" s="1"/>
      <c r="Y60" s="1"/>
      <c r="Z60" s="1"/>
    </row>
    <row r="61" ht="14.25" customHeight="1">
      <c r="A61" s="1"/>
      <c r="B61" s="25" t="s">
        <v>19</v>
      </c>
      <c r="C61" s="12"/>
      <c r="D61" s="13"/>
      <c r="E61" s="39"/>
      <c r="F61" s="40"/>
      <c r="G61" s="41"/>
      <c r="H61" s="42" t="s">
        <v>20</v>
      </c>
      <c r="I61" s="42" t="s">
        <v>21</v>
      </c>
      <c r="J61" s="42" t="s">
        <v>22</v>
      </c>
      <c r="K61" s="43" t="s">
        <v>23</v>
      </c>
      <c r="L61" s="43" t="s">
        <v>24</v>
      </c>
      <c r="M61" s="43" t="s">
        <v>80</v>
      </c>
      <c r="N61" s="1"/>
      <c r="O61" s="1"/>
      <c r="P61" s="1"/>
      <c r="Q61" s="1"/>
      <c r="R61" s="1"/>
      <c r="S61" s="1"/>
      <c r="T61" s="1"/>
      <c r="U61" s="1"/>
      <c r="V61" s="1"/>
      <c r="W61" s="1"/>
      <c r="X61" s="1"/>
      <c r="Y61" s="1"/>
      <c r="Z61" s="1"/>
    </row>
    <row r="62" ht="14.25" customHeight="1">
      <c r="A62" s="1"/>
      <c r="B62" s="39" t="s">
        <v>27</v>
      </c>
      <c r="C62" s="39" t="s">
        <v>28</v>
      </c>
      <c r="D62" s="39" t="s">
        <v>29</v>
      </c>
      <c r="E62" s="39"/>
      <c r="F62" s="46"/>
      <c r="G62" s="47"/>
      <c r="H62" s="48"/>
      <c r="I62" s="48"/>
      <c r="J62" s="48"/>
      <c r="K62" s="48"/>
      <c r="L62" s="48"/>
      <c r="M62" s="48"/>
      <c r="N62" s="1"/>
      <c r="O62" s="1"/>
      <c r="P62" s="1"/>
      <c r="Q62" s="1"/>
      <c r="R62" s="1"/>
      <c r="S62" s="1"/>
      <c r="T62" s="1"/>
      <c r="U62" s="1"/>
      <c r="V62" s="1"/>
      <c r="W62" s="1"/>
      <c r="X62" s="1"/>
      <c r="Y62" s="1"/>
      <c r="Z62" s="1"/>
    </row>
    <row r="63" ht="14.25" customHeight="1">
      <c r="A63" s="1"/>
      <c r="B63" s="50"/>
      <c r="C63" s="50"/>
      <c r="D63" s="50"/>
      <c r="E63" s="51" t="s">
        <v>81</v>
      </c>
      <c r="F63" s="52" t="s">
        <v>82</v>
      </c>
      <c r="G63" s="6"/>
      <c r="H63" s="53"/>
      <c r="I63" s="54">
        <v>2.0</v>
      </c>
      <c r="J63" s="43"/>
      <c r="K63" s="66">
        <v>0.2461</v>
      </c>
      <c r="L63" s="67">
        <f>((H63*K63)+(I63*K63)+(J63*K63))</f>
        <v>0.4922</v>
      </c>
      <c r="M63" s="57">
        <f>SUM(L63:L74)</f>
        <v>2</v>
      </c>
      <c r="N63" s="1"/>
      <c r="O63" s="1"/>
      <c r="P63" s="1"/>
      <c r="Q63" s="1"/>
      <c r="R63" s="1"/>
      <c r="S63" s="1"/>
      <c r="T63" s="1"/>
      <c r="U63" s="1"/>
      <c r="V63" s="1"/>
      <c r="W63" s="1"/>
      <c r="X63" s="1"/>
      <c r="Y63" s="1"/>
      <c r="Z63" s="1"/>
    </row>
    <row r="64" ht="14.25" customHeight="1">
      <c r="A64" s="1"/>
      <c r="B64" s="58"/>
      <c r="C64" s="58"/>
      <c r="D64" s="58"/>
      <c r="E64" s="59"/>
      <c r="F64" s="60" t="s">
        <v>83</v>
      </c>
      <c r="G64" s="15"/>
      <c r="H64" s="61"/>
      <c r="I64" s="58"/>
      <c r="J64" s="58"/>
      <c r="K64" s="58"/>
      <c r="L64" s="58"/>
      <c r="M64" s="58"/>
      <c r="N64" s="1"/>
      <c r="O64" s="1"/>
      <c r="P64" s="1"/>
      <c r="Q64" s="1"/>
      <c r="R64" s="1"/>
      <c r="S64" s="1"/>
      <c r="T64" s="1"/>
      <c r="U64" s="1"/>
      <c r="V64" s="1"/>
      <c r="W64" s="1"/>
      <c r="X64" s="1"/>
      <c r="Y64" s="1"/>
      <c r="Z64" s="1"/>
    </row>
    <row r="65" ht="14.25" customHeight="1">
      <c r="A65" s="1"/>
      <c r="B65" s="48"/>
      <c r="C65" s="48"/>
      <c r="D65" s="48"/>
      <c r="E65" s="59"/>
      <c r="F65" s="62" t="s">
        <v>84</v>
      </c>
      <c r="G65" s="30"/>
      <c r="H65" s="47"/>
      <c r="I65" s="48"/>
      <c r="J65" s="48"/>
      <c r="K65" s="48"/>
      <c r="L65" s="48"/>
      <c r="M65" s="58"/>
      <c r="N65" s="1"/>
      <c r="O65" s="1"/>
      <c r="P65" s="1"/>
      <c r="Q65" s="1"/>
      <c r="R65" s="1"/>
      <c r="S65" s="1"/>
      <c r="T65" s="1"/>
      <c r="U65" s="1"/>
      <c r="V65" s="1"/>
      <c r="W65" s="1"/>
      <c r="X65" s="1"/>
      <c r="Y65" s="1"/>
      <c r="Z65" s="1"/>
    </row>
    <row r="66" ht="14.25" customHeight="1">
      <c r="A66" s="1"/>
      <c r="B66" s="50"/>
      <c r="C66" s="50"/>
      <c r="D66" s="50"/>
      <c r="E66" s="59"/>
      <c r="F66" s="52" t="s">
        <v>85</v>
      </c>
      <c r="G66" s="6"/>
      <c r="H66" s="53"/>
      <c r="I66" s="54">
        <v>2.0</v>
      </c>
      <c r="J66" s="43"/>
      <c r="K66" s="66">
        <v>0.2299</v>
      </c>
      <c r="L66" s="67">
        <f>((H66*K66)+(I66*K66)+(J66*K66))</f>
        <v>0.4598</v>
      </c>
      <c r="M66" s="58"/>
      <c r="N66" s="1"/>
      <c r="O66" s="1"/>
      <c r="P66" s="1"/>
      <c r="Q66" s="1"/>
      <c r="R66" s="1"/>
      <c r="S66" s="1"/>
      <c r="T66" s="1"/>
      <c r="U66" s="1"/>
      <c r="V66" s="1"/>
      <c r="W66" s="1"/>
      <c r="X66" s="1"/>
      <c r="Y66" s="1"/>
      <c r="Z66" s="1"/>
    </row>
    <row r="67" ht="14.25" customHeight="1">
      <c r="A67" s="1"/>
      <c r="B67" s="58"/>
      <c r="C67" s="58"/>
      <c r="D67" s="58"/>
      <c r="E67" s="59"/>
      <c r="F67" s="60" t="s">
        <v>86</v>
      </c>
      <c r="G67" s="15"/>
      <c r="H67" s="61"/>
      <c r="I67" s="58"/>
      <c r="J67" s="58"/>
      <c r="K67" s="58"/>
      <c r="L67" s="58"/>
      <c r="M67" s="58"/>
      <c r="N67" s="1"/>
      <c r="O67" s="1"/>
      <c r="P67" s="1"/>
      <c r="Q67" s="1"/>
      <c r="R67" s="1"/>
      <c r="S67" s="1"/>
      <c r="T67" s="1"/>
      <c r="U67" s="1"/>
      <c r="V67" s="1"/>
      <c r="W67" s="1"/>
      <c r="X67" s="1"/>
      <c r="Y67" s="1"/>
      <c r="Z67" s="1"/>
    </row>
    <row r="68" ht="14.25" customHeight="1">
      <c r="A68" s="1"/>
      <c r="B68" s="48"/>
      <c r="C68" s="48"/>
      <c r="D68" s="48"/>
      <c r="E68" s="59"/>
      <c r="F68" s="62" t="s">
        <v>84</v>
      </c>
      <c r="G68" s="30"/>
      <c r="H68" s="47"/>
      <c r="I68" s="48"/>
      <c r="J68" s="48"/>
      <c r="K68" s="48"/>
      <c r="L68" s="48"/>
      <c r="M68" s="58"/>
      <c r="N68" s="1"/>
      <c r="O68" s="1"/>
      <c r="P68" s="1"/>
      <c r="Q68" s="1"/>
      <c r="R68" s="1"/>
      <c r="S68" s="1"/>
      <c r="T68" s="1"/>
      <c r="U68" s="1"/>
      <c r="V68" s="1"/>
      <c r="W68" s="1"/>
      <c r="X68" s="1"/>
      <c r="Y68" s="1"/>
      <c r="Z68" s="1"/>
    </row>
    <row r="69" ht="14.25" customHeight="1">
      <c r="A69" s="1"/>
      <c r="B69" s="50"/>
      <c r="C69" s="50"/>
      <c r="D69" s="50"/>
      <c r="E69" s="59"/>
      <c r="F69" s="52" t="s">
        <v>87</v>
      </c>
      <c r="G69" s="6"/>
      <c r="H69" s="53"/>
      <c r="I69" s="54">
        <v>2.0</v>
      </c>
      <c r="J69" s="43"/>
      <c r="K69" s="66">
        <v>0.3621</v>
      </c>
      <c r="L69" s="67">
        <f>((H69*K69)+(I69*K69)+(J69*K69))</f>
        <v>0.7242</v>
      </c>
      <c r="M69" s="58"/>
      <c r="N69" s="1"/>
      <c r="O69" s="1"/>
      <c r="P69" s="1"/>
      <c r="Q69" s="1"/>
      <c r="R69" s="1"/>
      <c r="S69" s="1"/>
      <c r="T69" s="1"/>
      <c r="U69" s="1"/>
      <c r="V69" s="1"/>
      <c r="W69" s="1"/>
      <c r="X69" s="1"/>
      <c r="Y69" s="1"/>
      <c r="Z69" s="1"/>
    </row>
    <row r="70" ht="14.25" customHeight="1">
      <c r="A70" s="1"/>
      <c r="B70" s="58"/>
      <c r="C70" s="58"/>
      <c r="D70" s="58"/>
      <c r="E70" s="59"/>
      <c r="F70" s="60" t="s">
        <v>88</v>
      </c>
      <c r="G70" s="15"/>
      <c r="H70" s="61"/>
      <c r="I70" s="58"/>
      <c r="J70" s="58"/>
      <c r="K70" s="58"/>
      <c r="L70" s="58"/>
      <c r="M70" s="58"/>
      <c r="N70" s="1"/>
      <c r="O70" s="1"/>
      <c r="P70" s="1"/>
      <c r="Q70" s="1"/>
      <c r="R70" s="1"/>
      <c r="S70" s="1"/>
      <c r="T70" s="1"/>
      <c r="U70" s="1"/>
      <c r="V70" s="1"/>
      <c r="W70" s="1"/>
      <c r="X70" s="1"/>
      <c r="Y70" s="1"/>
      <c r="Z70" s="1"/>
    </row>
    <row r="71" ht="14.25" customHeight="1">
      <c r="A71" s="1"/>
      <c r="B71" s="48"/>
      <c r="C71" s="48"/>
      <c r="D71" s="48"/>
      <c r="E71" s="59"/>
      <c r="F71" s="62" t="s">
        <v>84</v>
      </c>
      <c r="G71" s="30"/>
      <c r="H71" s="47"/>
      <c r="I71" s="48"/>
      <c r="J71" s="48"/>
      <c r="K71" s="48"/>
      <c r="L71" s="48"/>
      <c r="M71" s="58"/>
      <c r="N71" s="1"/>
      <c r="O71" s="1"/>
      <c r="P71" s="1"/>
      <c r="Q71" s="1"/>
      <c r="R71" s="1"/>
      <c r="S71" s="1"/>
      <c r="T71" s="1"/>
      <c r="U71" s="1"/>
      <c r="V71" s="1"/>
      <c r="W71" s="1"/>
      <c r="X71" s="1"/>
      <c r="Y71" s="1"/>
      <c r="Z71" s="1"/>
    </row>
    <row r="72" ht="14.25" customHeight="1">
      <c r="A72" s="1"/>
      <c r="B72" s="50"/>
      <c r="C72" s="50"/>
      <c r="D72" s="50"/>
      <c r="E72" s="59"/>
      <c r="F72" s="52" t="s">
        <v>89</v>
      </c>
      <c r="G72" s="6"/>
      <c r="H72" s="53"/>
      <c r="I72" s="54">
        <v>2.0</v>
      </c>
      <c r="J72" s="43"/>
      <c r="K72" s="66">
        <v>0.1619</v>
      </c>
      <c r="L72" s="67">
        <f>((H72*K72)+(I72*K72)+(J72*K72))</f>
        <v>0.3238</v>
      </c>
      <c r="M72" s="58"/>
      <c r="N72" s="1"/>
      <c r="O72" s="1"/>
      <c r="P72" s="1"/>
      <c r="Q72" s="1"/>
      <c r="R72" s="1"/>
      <c r="S72" s="1"/>
      <c r="T72" s="1"/>
      <c r="U72" s="1"/>
      <c r="V72" s="1"/>
      <c r="W72" s="1"/>
      <c r="X72" s="1"/>
      <c r="Y72" s="1"/>
      <c r="Z72" s="1"/>
    </row>
    <row r="73" ht="14.25" customHeight="1">
      <c r="A73" s="1"/>
      <c r="B73" s="58"/>
      <c r="C73" s="58"/>
      <c r="D73" s="58"/>
      <c r="E73" s="59"/>
      <c r="F73" s="60" t="s">
        <v>90</v>
      </c>
      <c r="G73" s="15"/>
      <c r="H73" s="61"/>
      <c r="I73" s="58"/>
      <c r="J73" s="58"/>
      <c r="K73" s="58"/>
      <c r="L73" s="58"/>
      <c r="M73" s="58"/>
      <c r="N73" s="1"/>
      <c r="O73" s="1"/>
      <c r="P73" s="1"/>
      <c r="Q73" s="1"/>
      <c r="R73" s="1"/>
      <c r="S73" s="1"/>
      <c r="T73" s="1"/>
      <c r="U73" s="1"/>
      <c r="V73" s="1"/>
      <c r="W73" s="1"/>
      <c r="X73" s="1"/>
      <c r="Y73" s="1"/>
      <c r="Z73" s="1"/>
    </row>
    <row r="74" ht="14.25" customHeight="1">
      <c r="A74" s="1"/>
      <c r="B74" s="48"/>
      <c r="C74" s="48"/>
      <c r="D74" s="48"/>
      <c r="E74" s="46"/>
      <c r="F74" s="62" t="s">
        <v>84</v>
      </c>
      <c r="G74" s="30"/>
      <c r="H74" s="47"/>
      <c r="I74" s="48"/>
      <c r="J74" s="48"/>
      <c r="K74" s="48"/>
      <c r="L74" s="48"/>
      <c r="M74" s="48"/>
      <c r="N74" s="1"/>
      <c r="O74" s="1"/>
      <c r="P74" s="1"/>
      <c r="Q74" s="1"/>
      <c r="R74" s="1"/>
      <c r="S74" s="1"/>
      <c r="T74" s="1"/>
      <c r="U74" s="1"/>
      <c r="V74" s="1"/>
      <c r="W74" s="1"/>
      <c r="X74" s="1"/>
      <c r="Y74" s="1"/>
      <c r="Z74" s="1"/>
    </row>
    <row r="75" ht="14.25" customHeight="1">
      <c r="A75" s="1"/>
      <c r="B75" s="50"/>
      <c r="C75" s="50"/>
      <c r="D75" s="50"/>
      <c r="E75" s="51" t="s">
        <v>91</v>
      </c>
      <c r="F75" s="52" t="s">
        <v>92</v>
      </c>
      <c r="G75" s="6"/>
      <c r="H75" s="53"/>
      <c r="I75" s="54">
        <v>2.0</v>
      </c>
      <c r="J75" s="43"/>
      <c r="K75" s="55">
        <v>0.1432</v>
      </c>
      <c r="L75" s="56">
        <f>((H75*K75)+(I75*K75)+(J75*K75))</f>
        <v>0.2864</v>
      </c>
      <c r="M75" s="57">
        <f>SUM(L75:L89)</f>
        <v>1.1431</v>
      </c>
      <c r="N75" s="1"/>
      <c r="O75" s="1"/>
      <c r="P75" s="1"/>
      <c r="Q75" s="1"/>
      <c r="R75" s="1"/>
      <c r="S75" s="1"/>
      <c r="T75" s="1"/>
      <c r="U75" s="1"/>
      <c r="V75" s="1"/>
      <c r="W75" s="1"/>
      <c r="X75" s="1"/>
      <c r="Y75" s="1"/>
      <c r="Z75" s="1"/>
    </row>
    <row r="76" ht="14.25" customHeight="1">
      <c r="A76" s="1"/>
      <c r="B76" s="58"/>
      <c r="C76" s="58"/>
      <c r="D76" s="58"/>
      <c r="E76" s="59"/>
      <c r="F76" s="60" t="s">
        <v>93</v>
      </c>
      <c r="G76" s="15"/>
      <c r="H76" s="61"/>
      <c r="I76" s="58"/>
      <c r="J76" s="58"/>
      <c r="K76" s="58"/>
      <c r="L76" s="58"/>
      <c r="M76" s="58"/>
      <c r="N76" s="1"/>
      <c r="O76" s="1"/>
      <c r="P76" s="1"/>
      <c r="Q76" s="1"/>
      <c r="R76" s="1"/>
      <c r="S76" s="1"/>
      <c r="T76" s="1"/>
      <c r="U76" s="1"/>
      <c r="V76" s="1"/>
      <c r="W76" s="1"/>
      <c r="X76" s="1"/>
      <c r="Y76" s="1"/>
      <c r="Z76" s="1"/>
    </row>
    <row r="77" ht="14.25" customHeight="1">
      <c r="A77" s="1"/>
      <c r="B77" s="48"/>
      <c r="C77" s="48"/>
      <c r="D77" s="48"/>
      <c r="E77" s="59"/>
      <c r="F77" s="62" t="s">
        <v>94</v>
      </c>
      <c r="G77" s="30"/>
      <c r="H77" s="47"/>
      <c r="I77" s="48"/>
      <c r="J77" s="48"/>
      <c r="K77" s="48"/>
      <c r="L77" s="48"/>
      <c r="M77" s="58"/>
      <c r="N77" s="1"/>
      <c r="O77" s="1"/>
      <c r="P77" s="1"/>
      <c r="Q77" s="1"/>
      <c r="R77" s="1"/>
      <c r="S77" s="1"/>
      <c r="T77" s="1"/>
      <c r="U77" s="1"/>
      <c r="V77" s="1"/>
      <c r="W77" s="1"/>
      <c r="X77" s="1"/>
      <c r="Y77" s="1"/>
      <c r="Z77" s="1"/>
    </row>
    <row r="78" ht="14.25" customHeight="1">
      <c r="A78" s="1"/>
      <c r="B78" s="50"/>
      <c r="C78" s="50"/>
      <c r="D78" s="50"/>
      <c r="E78" s="59"/>
      <c r="F78" s="52" t="s">
        <v>95</v>
      </c>
      <c r="G78" s="6"/>
      <c r="H78" s="64">
        <v>1.0</v>
      </c>
      <c r="I78" s="43"/>
      <c r="J78" s="43"/>
      <c r="K78" s="55">
        <v>0.1341</v>
      </c>
      <c r="L78" s="56">
        <f>((H78*K78)+(I78*K78)+(J78*K78))</f>
        <v>0.1341</v>
      </c>
      <c r="M78" s="58"/>
      <c r="N78" s="1"/>
      <c r="O78" s="1"/>
      <c r="P78" s="1"/>
      <c r="Q78" s="1"/>
      <c r="R78" s="1"/>
      <c r="S78" s="1"/>
      <c r="T78" s="1"/>
      <c r="U78" s="1"/>
      <c r="V78" s="1"/>
      <c r="W78" s="1"/>
      <c r="X78" s="1"/>
      <c r="Y78" s="1"/>
      <c r="Z78" s="1"/>
    </row>
    <row r="79" ht="14.25" customHeight="1">
      <c r="A79" s="1"/>
      <c r="B79" s="58"/>
      <c r="C79" s="58"/>
      <c r="D79" s="58"/>
      <c r="E79" s="59"/>
      <c r="F79" s="60" t="s">
        <v>96</v>
      </c>
      <c r="G79" s="15"/>
      <c r="H79" s="61"/>
      <c r="I79" s="58"/>
      <c r="J79" s="58"/>
      <c r="K79" s="58"/>
      <c r="L79" s="58"/>
      <c r="M79" s="58"/>
      <c r="N79" s="1"/>
      <c r="O79" s="1"/>
      <c r="P79" s="1"/>
      <c r="Q79" s="1"/>
      <c r="R79" s="1"/>
      <c r="S79" s="1"/>
      <c r="T79" s="1"/>
      <c r="U79" s="1"/>
      <c r="V79" s="1"/>
      <c r="W79" s="1"/>
      <c r="X79" s="1"/>
      <c r="Y79" s="1"/>
      <c r="Z79" s="1"/>
    </row>
    <row r="80" ht="14.25" customHeight="1">
      <c r="A80" s="1"/>
      <c r="B80" s="48"/>
      <c r="C80" s="48"/>
      <c r="D80" s="48"/>
      <c r="E80" s="59"/>
      <c r="F80" s="62" t="s">
        <v>84</v>
      </c>
      <c r="G80" s="30"/>
      <c r="H80" s="47"/>
      <c r="I80" s="48"/>
      <c r="J80" s="48"/>
      <c r="K80" s="48"/>
      <c r="L80" s="48"/>
      <c r="M80" s="58"/>
      <c r="N80" s="1"/>
      <c r="O80" s="1"/>
      <c r="P80" s="1"/>
      <c r="Q80" s="1"/>
      <c r="R80" s="1"/>
      <c r="S80" s="1"/>
      <c r="T80" s="1"/>
      <c r="U80" s="1"/>
      <c r="V80" s="1"/>
      <c r="W80" s="1"/>
      <c r="X80" s="1"/>
      <c r="Y80" s="1"/>
      <c r="Z80" s="1"/>
    </row>
    <row r="81" ht="14.25" customHeight="1">
      <c r="A81" s="1"/>
      <c r="B81" s="50"/>
      <c r="C81" s="50"/>
      <c r="D81" s="50"/>
      <c r="E81" s="59"/>
      <c r="F81" s="52" t="s">
        <v>97</v>
      </c>
      <c r="G81" s="6"/>
      <c r="H81" s="64">
        <v>1.0</v>
      </c>
      <c r="I81" s="43"/>
      <c r="J81" s="43"/>
      <c r="K81" s="55">
        <v>0.3931</v>
      </c>
      <c r="L81" s="56">
        <f>((H81*K81)+(I81*K81)+(J81*K81))</f>
        <v>0.3931</v>
      </c>
      <c r="M81" s="58"/>
      <c r="N81" s="1"/>
      <c r="O81" s="1"/>
      <c r="P81" s="1"/>
      <c r="Q81" s="1"/>
      <c r="R81" s="1"/>
      <c r="S81" s="1"/>
      <c r="T81" s="1"/>
      <c r="U81" s="1"/>
      <c r="V81" s="1"/>
      <c r="W81" s="1"/>
      <c r="X81" s="1"/>
      <c r="Y81" s="1"/>
      <c r="Z81" s="1"/>
    </row>
    <row r="82" ht="14.25" customHeight="1">
      <c r="A82" s="1"/>
      <c r="B82" s="58"/>
      <c r="C82" s="58"/>
      <c r="D82" s="58"/>
      <c r="E82" s="59"/>
      <c r="F82" s="60" t="s">
        <v>98</v>
      </c>
      <c r="G82" s="15"/>
      <c r="H82" s="61"/>
      <c r="I82" s="58"/>
      <c r="J82" s="58"/>
      <c r="K82" s="58"/>
      <c r="L82" s="58"/>
      <c r="M82" s="58"/>
      <c r="N82" s="1"/>
      <c r="O82" s="1"/>
      <c r="P82" s="1"/>
      <c r="Q82" s="1"/>
      <c r="R82" s="1"/>
      <c r="S82" s="1"/>
      <c r="T82" s="1"/>
      <c r="U82" s="1"/>
      <c r="V82" s="1"/>
      <c r="W82" s="1"/>
      <c r="X82" s="1"/>
      <c r="Y82" s="1"/>
      <c r="Z82" s="1"/>
    </row>
    <row r="83" ht="14.25" customHeight="1">
      <c r="A83" s="1"/>
      <c r="B83" s="48"/>
      <c r="C83" s="48"/>
      <c r="D83" s="48"/>
      <c r="E83" s="59"/>
      <c r="F83" s="62" t="s">
        <v>99</v>
      </c>
      <c r="G83" s="30"/>
      <c r="H83" s="47"/>
      <c r="I83" s="48"/>
      <c r="J83" s="48"/>
      <c r="K83" s="48"/>
      <c r="L83" s="48"/>
      <c r="M83" s="58"/>
      <c r="N83" s="1"/>
      <c r="O83" s="1"/>
      <c r="P83" s="1"/>
      <c r="Q83" s="1"/>
      <c r="R83" s="1"/>
      <c r="S83" s="1"/>
      <c r="T83" s="1"/>
      <c r="U83" s="1"/>
      <c r="V83" s="1"/>
      <c r="W83" s="1"/>
      <c r="X83" s="1"/>
      <c r="Y83" s="1"/>
      <c r="Z83" s="1"/>
    </row>
    <row r="84" ht="14.25" customHeight="1">
      <c r="A84" s="1"/>
      <c r="B84" s="50"/>
      <c r="C84" s="50"/>
      <c r="D84" s="50"/>
      <c r="E84" s="59"/>
      <c r="F84" s="52" t="s">
        <v>100</v>
      </c>
      <c r="G84" s="6"/>
      <c r="H84" s="64">
        <v>1.0</v>
      </c>
      <c r="I84" s="43"/>
      <c r="J84" s="43"/>
      <c r="K84" s="55">
        <v>0.2441</v>
      </c>
      <c r="L84" s="56">
        <f>((H84*K84)+(I84*K84)+(J84*K84))</f>
        <v>0.2441</v>
      </c>
      <c r="M84" s="58"/>
      <c r="N84" s="1"/>
      <c r="O84" s="1"/>
      <c r="P84" s="1"/>
      <c r="Q84" s="1"/>
      <c r="R84" s="1"/>
      <c r="S84" s="1"/>
      <c r="T84" s="1"/>
      <c r="U84" s="1"/>
      <c r="V84" s="1"/>
      <c r="W84" s="1"/>
      <c r="X84" s="1"/>
      <c r="Y84" s="1"/>
      <c r="Z84" s="1"/>
    </row>
    <row r="85" ht="14.25" customHeight="1">
      <c r="A85" s="1"/>
      <c r="B85" s="58"/>
      <c r="C85" s="58"/>
      <c r="D85" s="58"/>
      <c r="E85" s="59"/>
      <c r="F85" s="60" t="s">
        <v>101</v>
      </c>
      <c r="G85" s="15"/>
      <c r="H85" s="61"/>
      <c r="I85" s="58"/>
      <c r="J85" s="58"/>
      <c r="K85" s="58"/>
      <c r="L85" s="58"/>
      <c r="M85" s="58"/>
      <c r="N85" s="1"/>
      <c r="O85" s="1"/>
      <c r="P85" s="1"/>
      <c r="Q85" s="1"/>
      <c r="R85" s="1"/>
      <c r="S85" s="1"/>
      <c r="T85" s="1"/>
      <c r="U85" s="1"/>
      <c r="V85" s="1"/>
      <c r="W85" s="1"/>
      <c r="X85" s="1"/>
      <c r="Y85" s="1"/>
      <c r="Z85" s="1"/>
    </row>
    <row r="86" ht="14.25" customHeight="1">
      <c r="A86" s="1"/>
      <c r="B86" s="48"/>
      <c r="C86" s="48"/>
      <c r="D86" s="48"/>
      <c r="E86" s="59"/>
      <c r="F86" s="62" t="s">
        <v>84</v>
      </c>
      <c r="G86" s="30"/>
      <c r="H86" s="47"/>
      <c r="I86" s="48"/>
      <c r="J86" s="48"/>
      <c r="K86" s="48"/>
      <c r="L86" s="48"/>
      <c r="M86" s="58"/>
      <c r="N86" s="1"/>
      <c r="O86" s="1"/>
      <c r="P86" s="1"/>
      <c r="Q86" s="1"/>
      <c r="R86" s="1"/>
      <c r="S86" s="1"/>
      <c r="T86" s="1"/>
      <c r="U86" s="1"/>
      <c r="V86" s="1"/>
      <c r="W86" s="1"/>
      <c r="X86" s="1"/>
      <c r="Y86" s="1"/>
      <c r="Z86" s="1"/>
    </row>
    <row r="87" ht="14.25" customHeight="1">
      <c r="A87" s="1"/>
      <c r="B87" s="50"/>
      <c r="C87" s="50"/>
      <c r="D87" s="50"/>
      <c r="E87" s="59"/>
      <c r="F87" s="52" t="s">
        <v>102</v>
      </c>
      <c r="G87" s="6"/>
      <c r="H87" s="64">
        <v>1.0</v>
      </c>
      <c r="I87" s="43"/>
      <c r="J87" s="43"/>
      <c r="K87" s="55">
        <v>0.0854</v>
      </c>
      <c r="L87" s="56">
        <f>((H87*K87)+(I87*K87)+(J87*K87))</f>
        <v>0.0854</v>
      </c>
      <c r="M87" s="58"/>
      <c r="N87" s="1"/>
      <c r="O87" s="1"/>
      <c r="P87" s="1"/>
      <c r="Q87" s="1"/>
      <c r="R87" s="1"/>
      <c r="S87" s="1"/>
      <c r="T87" s="1"/>
      <c r="U87" s="1"/>
      <c r="V87" s="1"/>
      <c r="W87" s="1"/>
      <c r="X87" s="1"/>
      <c r="Y87" s="1"/>
      <c r="Z87" s="1"/>
    </row>
    <row r="88" ht="14.25" customHeight="1">
      <c r="A88" s="1"/>
      <c r="B88" s="58"/>
      <c r="C88" s="58"/>
      <c r="D88" s="58"/>
      <c r="E88" s="59"/>
      <c r="F88" s="60" t="s">
        <v>103</v>
      </c>
      <c r="G88" s="15"/>
      <c r="H88" s="61"/>
      <c r="I88" s="58"/>
      <c r="J88" s="58"/>
      <c r="K88" s="58"/>
      <c r="L88" s="58"/>
      <c r="M88" s="58"/>
      <c r="N88" s="1"/>
      <c r="O88" s="1"/>
      <c r="P88" s="1"/>
      <c r="Q88" s="1"/>
      <c r="R88" s="1"/>
      <c r="S88" s="1"/>
      <c r="T88" s="1"/>
      <c r="U88" s="1"/>
      <c r="V88" s="1"/>
      <c r="W88" s="1"/>
      <c r="X88" s="1"/>
      <c r="Y88" s="1"/>
      <c r="Z88" s="1"/>
    </row>
    <row r="89" ht="14.25" customHeight="1">
      <c r="A89" s="1"/>
      <c r="B89" s="48"/>
      <c r="C89" s="48"/>
      <c r="D89" s="48"/>
      <c r="E89" s="46"/>
      <c r="F89" s="62" t="s">
        <v>84</v>
      </c>
      <c r="G89" s="30"/>
      <c r="H89" s="47"/>
      <c r="I89" s="48"/>
      <c r="J89" s="48"/>
      <c r="K89" s="48"/>
      <c r="L89" s="48"/>
      <c r="M89" s="48"/>
      <c r="N89" s="1"/>
      <c r="O89" s="1"/>
      <c r="P89" s="1"/>
      <c r="Q89" s="1"/>
      <c r="R89" s="1"/>
      <c r="S89" s="1"/>
      <c r="T89" s="1"/>
      <c r="U89" s="1"/>
      <c r="V89" s="1"/>
      <c r="W89" s="1"/>
      <c r="X89" s="1"/>
      <c r="Y89" s="1"/>
      <c r="Z89" s="1"/>
    </row>
    <row r="90" ht="14.25" customHeight="1">
      <c r="A90" s="1"/>
      <c r="B90" s="50"/>
      <c r="C90" s="50"/>
      <c r="D90" s="50"/>
      <c r="E90" s="51" t="s">
        <v>104</v>
      </c>
      <c r="F90" s="52" t="s">
        <v>105</v>
      </c>
      <c r="G90" s="6"/>
      <c r="H90" s="64">
        <v>1.0</v>
      </c>
      <c r="I90" s="43"/>
      <c r="J90" s="43"/>
      <c r="K90" s="66">
        <v>0.0589</v>
      </c>
      <c r="L90" s="67">
        <f>((H90*K90)+(I90*K90)+(J90*K90))</f>
        <v>0.0589</v>
      </c>
      <c r="M90" s="57">
        <f>SUM(L90:L101)</f>
        <v>1.1318</v>
      </c>
      <c r="N90" s="1"/>
      <c r="O90" s="1"/>
      <c r="P90" s="1"/>
      <c r="Q90" s="1"/>
      <c r="R90" s="1"/>
      <c r="S90" s="1"/>
      <c r="T90" s="1"/>
      <c r="U90" s="1"/>
      <c r="V90" s="1"/>
      <c r="W90" s="1"/>
      <c r="X90" s="1"/>
      <c r="Y90" s="1"/>
      <c r="Z90" s="1"/>
    </row>
    <row r="91" ht="14.25" customHeight="1">
      <c r="A91" s="1"/>
      <c r="B91" s="58"/>
      <c r="C91" s="58"/>
      <c r="D91" s="58"/>
      <c r="E91" s="59"/>
      <c r="F91" s="69" t="s">
        <v>106</v>
      </c>
      <c r="G91" s="15"/>
      <c r="H91" s="61"/>
      <c r="I91" s="58"/>
      <c r="J91" s="58"/>
      <c r="K91" s="58"/>
      <c r="L91" s="58"/>
      <c r="M91" s="58"/>
      <c r="N91" s="1"/>
      <c r="O91" s="1"/>
      <c r="P91" s="1"/>
      <c r="Q91" s="1"/>
      <c r="R91" s="1"/>
      <c r="S91" s="1"/>
      <c r="T91" s="1"/>
      <c r="U91" s="1"/>
      <c r="V91" s="1"/>
      <c r="W91" s="1"/>
      <c r="X91" s="1"/>
      <c r="Y91" s="1"/>
      <c r="Z91" s="1"/>
    </row>
    <row r="92" ht="14.25" customHeight="1">
      <c r="A92" s="1"/>
      <c r="B92" s="48"/>
      <c r="C92" s="48"/>
      <c r="D92" s="48"/>
      <c r="E92" s="59"/>
      <c r="F92" s="62" t="s">
        <v>84</v>
      </c>
      <c r="G92" s="30"/>
      <c r="H92" s="47"/>
      <c r="I92" s="48"/>
      <c r="J92" s="48"/>
      <c r="K92" s="48"/>
      <c r="L92" s="48"/>
      <c r="M92" s="58"/>
      <c r="N92" s="1"/>
      <c r="O92" s="1"/>
      <c r="P92" s="1"/>
      <c r="Q92" s="1"/>
      <c r="R92" s="1"/>
      <c r="S92" s="1"/>
      <c r="T92" s="1"/>
      <c r="U92" s="1"/>
      <c r="V92" s="1"/>
      <c r="W92" s="1"/>
      <c r="X92" s="1"/>
      <c r="Y92" s="1"/>
      <c r="Z92" s="1"/>
    </row>
    <row r="93" ht="14.25" customHeight="1">
      <c r="A93" s="1"/>
      <c r="B93" s="50"/>
      <c r="C93" s="50"/>
      <c r="D93" s="50"/>
      <c r="E93" s="59"/>
      <c r="F93" s="52" t="s">
        <v>107</v>
      </c>
      <c r="G93" s="6"/>
      <c r="H93" s="64">
        <v>1.0</v>
      </c>
      <c r="I93" s="43"/>
      <c r="J93" s="43"/>
      <c r="K93" s="66">
        <v>0.2439</v>
      </c>
      <c r="L93" s="67">
        <f>((H93*K93)+(I93*K93)+(J93*K93))</f>
        <v>0.2439</v>
      </c>
      <c r="M93" s="58"/>
      <c r="N93" s="1"/>
      <c r="O93" s="1"/>
      <c r="P93" s="1"/>
      <c r="Q93" s="1"/>
      <c r="R93" s="1"/>
      <c r="S93" s="1"/>
      <c r="T93" s="1"/>
      <c r="U93" s="1"/>
      <c r="V93" s="1"/>
      <c r="W93" s="1"/>
      <c r="X93" s="1"/>
      <c r="Y93" s="1"/>
      <c r="Z93" s="1"/>
    </row>
    <row r="94" ht="14.25" customHeight="1">
      <c r="A94" s="1"/>
      <c r="B94" s="58"/>
      <c r="C94" s="58"/>
      <c r="D94" s="58"/>
      <c r="E94" s="59"/>
      <c r="F94" s="60" t="s">
        <v>108</v>
      </c>
      <c r="G94" s="15"/>
      <c r="H94" s="61"/>
      <c r="I94" s="58"/>
      <c r="J94" s="58"/>
      <c r="K94" s="58"/>
      <c r="L94" s="58"/>
      <c r="M94" s="58"/>
      <c r="N94" s="1"/>
      <c r="O94" s="1"/>
      <c r="P94" s="1"/>
      <c r="Q94" s="1"/>
      <c r="R94" s="1"/>
      <c r="S94" s="1"/>
      <c r="T94" s="1"/>
      <c r="U94" s="1"/>
      <c r="V94" s="1"/>
      <c r="W94" s="1"/>
      <c r="X94" s="1"/>
      <c r="Y94" s="1"/>
      <c r="Z94" s="1"/>
    </row>
    <row r="95" ht="14.25" customHeight="1">
      <c r="A95" s="1"/>
      <c r="B95" s="48"/>
      <c r="C95" s="48"/>
      <c r="D95" s="48"/>
      <c r="E95" s="59"/>
      <c r="F95" s="62" t="s">
        <v>84</v>
      </c>
      <c r="G95" s="30"/>
      <c r="H95" s="47"/>
      <c r="I95" s="48"/>
      <c r="J95" s="48"/>
      <c r="K95" s="48"/>
      <c r="L95" s="48"/>
      <c r="M95" s="58"/>
      <c r="N95" s="1"/>
      <c r="O95" s="1"/>
      <c r="P95" s="1"/>
      <c r="Q95" s="1"/>
      <c r="R95" s="1"/>
      <c r="S95" s="1"/>
      <c r="T95" s="1"/>
      <c r="U95" s="1"/>
      <c r="V95" s="1"/>
      <c r="W95" s="1"/>
      <c r="X95" s="1"/>
      <c r="Y95" s="1"/>
      <c r="Z95" s="1"/>
    </row>
    <row r="96" ht="14.25" customHeight="1">
      <c r="A96" s="1"/>
      <c r="B96" s="50"/>
      <c r="C96" s="50"/>
      <c r="D96" s="50"/>
      <c r="E96" s="59"/>
      <c r="F96" s="52" t="s">
        <v>109</v>
      </c>
      <c r="G96" s="6"/>
      <c r="H96" s="64">
        <v>1.0</v>
      </c>
      <c r="I96" s="43"/>
      <c r="J96" s="43"/>
      <c r="K96" s="66">
        <v>0.6313</v>
      </c>
      <c r="L96" s="67">
        <f>((H96*K96)+(I96*K96)+(J96*K96))</f>
        <v>0.6313</v>
      </c>
      <c r="M96" s="58"/>
      <c r="N96" s="1"/>
      <c r="O96" s="1"/>
      <c r="P96" s="1"/>
      <c r="Q96" s="1"/>
      <c r="R96" s="1"/>
      <c r="S96" s="1"/>
      <c r="T96" s="1"/>
      <c r="U96" s="1"/>
      <c r="V96" s="1"/>
      <c r="W96" s="1"/>
      <c r="X96" s="1"/>
      <c r="Y96" s="1"/>
      <c r="Z96" s="1"/>
    </row>
    <row r="97" ht="14.25" customHeight="1">
      <c r="A97" s="1"/>
      <c r="B97" s="58"/>
      <c r="C97" s="58"/>
      <c r="D97" s="58"/>
      <c r="E97" s="59"/>
      <c r="F97" s="60" t="s">
        <v>110</v>
      </c>
      <c r="G97" s="15"/>
      <c r="H97" s="61"/>
      <c r="I97" s="58"/>
      <c r="J97" s="58"/>
      <c r="K97" s="58"/>
      <c r="L97" s="58"/>
      <c r="M97" s="58"/>
      <c r="N97" s="1"/>
      <c r="O97" s="1"/>
      <c r="P97" s="1"/>
      <c r="Q97" s="1"/>
      <c r="R97" s="1"/>
      <c r="S97" s="1"/>
      <c r="T97" s="1"/>
      <c r="U97" s="1"/>
      <c r="V97" s="1"/>
      <c r="W97" s="1"/>
      <c r="X97" s="1"/>
      <c r="Y97" s="1"/>
      <c r="Z97" s="1"/>
    </row>
    <row r="98" ht="14.25" customHeight="1">
      <c r="A98" s="1"/>
      <c r="B98" s="48"/>
      <c r="C98" s="48"/>
      <c r="D98" s="48"/>
      <c r="E98" s="59"/>
      <c r="F98" s="62" t="s">
        <v>84</v>
      </c>
      <c r="G98" s="30"/>
      <c r="H98" s="47"/>
      <c r="I98" s="48"/>
      <c r="J98" s="48"/>
      <c r="K98" s="48"/>
      <c r="L98" s="48"/>
      <c r="M98" s="58"/>
      <c r="N98" s="1"/>
      <c r="O98" s="1"/>
      <c r="P98" s="1"/>
      <c r="Q98" s="1"/>
      <c r="R98" s="1"/>
      <c r="S98" s="1"/>
      <c r="T98" s="1"/>
      <c r="U98" s="1"/>
      <c r="V98" s="1"/>
      <c r="W98" s="1"/>
      <c r="X98" s="1"/>
      <c r="Y98" s="1"/>
      <c r="Z98" s="1"/>
    </row>
    <row r="99" ht="14.25" customHeight="1">
      <c r="A99" s="1"/>
      <c r="B99" s="50"/>
      <c r="C99" s="50"/>
      <c r="D99" s="50"/>
      <c r="E99" s="59"/>
      <c r="F99" s="52" t="s">
        <v>111</v>
      </c>
      <c r="G99" s="6"/>
      <c r="H99" s="53"/>
      <c r="I99" s="43"/>
      <c r="J99" s="54">
        <v>3.0</v>
      </c>
      <c r="K99" s="66">
        <v>0.0659</v>
      </c>
      <c r="L99" s="67">
        <f>((H99*K99)+(I99*K99)+(J99*K99))</f>
        <v>0.1977</v>
      </c>
      <c r="M99" s="58"/>
      <c r="N99" s="1"/>
      <c r="O99" s="1"/>
      <c r="P99" s="1"/>
      <c r="Q99" s="1"/>
      <c r="R99" s="1"/>
      <c r="S99" s="1"/>
      <c r="T99" s="1"/>
      <c r="U99" s="1"/>
      <c r="V99" s="1"/>
      <c r="W99" s="1"/>
      <c r="X99" s="1"/>
      <c r="Y99" s="1"/>
      <c r="Z99" s="1"/>
    </row>
    <row r="100" ht="14.25" customHeight="1">
      <c r="A100" s="1"/>
      <c r="B100" s="58"/>
      <c r="C100" s="58"/>
      <c r="D100" s="58"/>
      <c r="E100" s="59"/>
      <c r="F100" s="69" t="s">
        <v>112</v>
      </c>
      <c r="G100" s="15"/>
      <c r="H100" s="61"/>
      <c r="I100" s="58"/>
      <c r="J100" s="58"/>
      <c r="K100" s="58"/>
      <c r="L100" s="58"/>
      <c r="M100" s="58"/>
      <c r="N100" s="1"/>
      <c r="O100" s="1"/>
      <c r="P100" s="1"/>
      <c r="Q100" s="1"/>
      <c r="R100" s="1"/>
      <c r="S100" s="1"/>
      <c r="T100" s="1"/>
      <c r="U100" s="1"/>
      <c r="V100" s="1"/>
      <c r="W100" s="1"/>
      <c r="X100" s="1"/>
      <c r="Y100" s="1"/>
      <c r="Z100" s="1"/>
    </row>
    <row r="101" ht="14.25" customHeight="1">
      <c r="A101" s="1"/>
      <c r="B101" s="48"/>
      <c r="C101" s="48"/>
      <c r="D101" s="48"/>
      <c r="E101" s="46"/>
      <c r="F101" s="62" t="s">
        <v>84</v>
      </c>
      <c r="G101" s="30"/>
      <c r="H101" s="47"/>
      <c r="I101" s="48"/>
      <c r="J101" s="48"/>
      <c r="K101" s="48"/>
      <c r="L101" s="48"/>
      <c r="M101" s="48"/>
      <c r="N101" s="1"/>
      <c r="O101" s="1"/>
      <c r="P101" s="1"/>
      <c r="Q101" s="1"/>
      <c r="R101" s="1"/>
      <c r="S101" s="1"/>
      <c r="T101" s="1"/>
      <c r="U101" s="1"/>
      <c r="V101" s="1"/>
      <c r="W101" s="1"/>
      <c r="X101" s="1"/>
      <c r="Y101" s="1"/>
      <c r="Z101" s="1"/>
    </row>
    <row r="102" ht="14.25" customHeight="1">
      <c r="A102" s="1"/>
      <c r="B102" s="50"/>
      <c r="C102" s="50"/>
      <c r="D102" s="50"/>
      <c r="E102" s="51" t="s">
        <v>113</v>
      </c>
      <c r="F102" s="52" t="s">
        <v>114</v>
      </c>
      <c r="G102" s="6"/>
      <c r="H102" s="64">
        <v>1.0</v>
      </c>
      <c r="I102" s="43"/>
      <c r="J102" s="43"/>
      <c r="K102" s="55">
        <v>0.0807</v>
      </c>
      <c r="L102" s="56">
        <f>((H102*K102)+(I102*K102)+(J102*K102))</f>
        <v>0.0807</v>
      </c>
      <c r="M102" s="57">
        <f>SUM(L102:L113)</f>
        <v>1.0001</v>
      </c>
      <c r="N102" s="1"/>
      <c r="O102" s="1"/>
      <c r="P102" s="1"/>
      <c r="Q102" s="1"/>
      <c r="R102" s="1"/>
      <c r="S102" s="1"/>
      <c r="T102" s="1"/>
      <c r="U102" s="1"/>
      <c r="V102" s="1"/>
      <c r="W102" s="1"/>
      <c r="X102" s="1"/>
      <c r="Y102" s="1"/>
      <c r="Z102" s="1"/>
    </row>
    <row r="103" ht="14.25" customHeight="1">
      <c r="A103" s="1"/>
      <c r="B103" s="58"/>
      <c r="C103" s="58"/>
      <c r="D103" s="58"/>
      <c r="E103" s="59"/>
      <c r="F103" s="60" t="s">
        <v>115</v>
      </c>
      <c r="G103" s="15"/>
      <c r="H103" s="61"/>
      <c r="I103" s="58"/>
      <c r="J103" s="58"/>
      <c r="K103" s="58"/>
      <c r="L103" s="58"/>
      <c r="M103" s="58"/>
      <c r="N103" s="1"/>
      <c r="O103" s="1"/>
      <c r="P103" s="1"/>
      <c r="Q103" s="1"/>
      <c r="R103" s="1"/>
      <c r="S103" s="1"/>
      <c r="T103" s="1"/>
      <c r="U103" s="1"/>
      <c r="V103" s="1"/>
      <c r="W103" s="1"/>
      <c r="X103" s="1"/>
      <c r="Y103" s="1"/>
      <c r="Z103" s="1"/>
    </row>
    <row r="104" ht="14.25" customHeight="1">
      <c r="A104" s="1"/>
      <c r="B104" s="48"/>
      <c r="C104" s="48"/>
      <c r="D104" s="48"/>
      <c r="E104" s="59"/>
      <c r="F104" s="62" t="s">
        <v>84</v>
      </c>
      <c r="G104" s="30"/>
      <c r="H104" s="47"/>
      <c r="I104" s="48"/>
      <c r="J104" s="48"/>
      <c r="K104" s="48"/>
      <c r="L104" s="48"/>
      <c r="M104" s="58"/>
      <c r="N104" s="1"/>
      <c r="O104" s="1"/>
      <c r="P104" s="1"/>
      <c r="Q104" s="1"/>
      <c r="R104" s="1"/>
      <c r="S104" s="1"/>
      <c r="T104" s="1"/>
      <c r="U104" s="1"/>
      <c r="V104" s="1"/>
      <c r="W104" s="1"/>
      <c r="X104" s="1"/>
      <c r="Y104" s="1"/>
      <c r="Z104" s="1"/>
    </row>
    <row r="105" ht="14.25" customHeight="1">
      <c r="A105" s="1"/>
      <c r="B105" s="50"/>
      <c r="C105" s="50"/>
      <c r="D105" s="50"/>
      <c r="E105" s="59"/>
      <c r="F105" s="52" t="s">
        <v>116</v>
      </c>
      <c r="G105" s="6"/>
      <c r="H105" s="64">
        <v>1.0</v>
      </c>
      <c r="I105" s="43"/>
      <c r="J105" s="43"/>
      <c r="K105" s="55">
        <v>0.229</v>
      </c>
      <c r="L105" s="56">
        <f>((H105*K105)+(I105*K105)+(J105*K105))</f>
        <v>0.229</v>
      </c>
      <c r="M105" s="58"/>
      <c r="N105" s="1"/>
      <c r="O105" s="1"/>
      <c r="P105" s="1"/>
      <c r="Q105" s="1"/>
      <c r="R105" s="1"/>
      <c r="S105" s="1"/>
      <c r="T105" s="1"/>
      <c r="U105" s="1"/>
      <c r="V105" s="1"/>
      <c r="W105" s="1"/>
      <c r="X105" s="1"/>
      <c r="Y105" s="1"/>
      <c r="Z105" s="1"/>
    </row>
    <row r="106" ht="14.25" customHeight="1">
      <c r="A106" s="1"/>
      <c r="B106" s="58"/>
      <c r="C106" s="58"/>
      <c r="D106" s="58"/>
      <c r="E106" s="59"/>
      <c r="F106" s="60" t="s">
        <v>117</v>
      </c>
      <c r="G106" s="15"/>
      <c r="H106" s="61"/>
      <c r="I106" s="58"/>
      <c r="J106" s="58"/>
      <c r="K106" s="58"/>
      <c r="L106" s="58"/>
      <c r="M106" s="58"/>
      <c r="N106" s="1"/>
      <c r="O106" s="1"/>
      <c r="P106" s="1"/>
      <c r="Q106" s="1"/>
      <c r="R106" s="1"/>
      <c r="S106" s="1"/>
      <c r="T106" s="1"/>
      <c r="U106" s="1"/>
      <c r="V106" s="1"/>
      <c r="W106" s="1"/>
      <c r="X106" s="1"/>
      <c r="Y106" s="1"/>
      <c r="Z106" s="1"/>
    </row>
    <row r="107" ht="14.25" customHeight="1">
      <c r="A107" s="1"/>
      <c r="B107" s="48"/>
      <c r="C107" s="48"/>
      <c r="D107" s="48"/>
      <c r="E107" s="59"/>
      <c r="F107" s="62" t="s">
        <v>84</v>
      </c>
      <c r="G107" s="30"/>
      <c r="H107" s="47"/>
      <c r="I107" s="48"/>
      <c r="J107" s="48"/>
      <c r="K107" s="48"/>
      <c r="L107" s="48"/>
      <c r="M107" s="58"/>
      <c r="N107" s="1"/>
      <c r="O107" s="1"/>
      <c r="P107" s="1"/>
      <c r="Q107" s="1"/>
      <c r="R107" s="1"/>
      <c r="S107" s="1"/>
      <c r="T107" s="1"/>
      <c r="U107" s="1"/>
      <c r="V107" s="1"/>
      <c r="W107" s="1"/>
      <c r="X107" s="1"/>
      <c r="Y107" s="1"/>
      <c r="Z107" s="1"/>
    </row>
    <row r="108" ht="14.25" customHeight="1">
      <c r="A108" s="1"/>
      <c r="B108" s="50"/>
      <c r="C108" s="50"/>
      <c r="D108" s="50"/>
      <c r="E108" s="59"/>
      <c r="F108" s="52" t="s">
        <v>118</v>
      </c>
      <c r="G108" s="6"/>
      <c r="H108" s="64">
        <v>1.0</v>
      </c>
      <c r="I108" s="43"/>
      <c r="J108" s="43"/>
      <c r="K108" s="55">
        <v>0.1478</v>
      </c>
      <c r="L108" s="56">
        <f>((H108*K108)+(I108*K108)+(J108*K108))</f>
        <v>0.1478</v>
      </c>
      <c r="M108" s="58"/>
      <c r="N108" s="1"/>
      <c r="O108" s="1"/>
      <c r="P108" s="1"/>
      <c r="Q108" s="1"/>
      <c r="R108" s="1"/>
      <c r="S108" s="1"/>
      <c r="T108" s="1"/>
      <c r="U108" s="1"/>
      <c r="V108" s="1"/>
      <c r="W108" s="1"/>
      <c r="X108" s="1"/>
      <c r="Y108" s="1"/>
      <c r="Z108" s="1"/>
    </row>
    <row r="109" ht="14.25" customHeight="1">
      <c r="A109" s="1"/>
      <c r="B109" s="58"/>
      <c r="C109" s="58"/>
      <c r="D109" s="58"/>
      <c r="E109" s="59"/>
      <c r="F109" s="60" t="s">
        <v>119</v>
      </c>
      <c r="G109" s="15"/>
      <c r="H109" s="61"/>
      <c r="I109" s="58"/>
      <c r="J109" s="58"/>
      <c r="K109" s="58"/>
      <c r="L109" s="58"/>
      <c r="M109" s="58"/>
      <c r="N109" s="1"/>
      <c r="O109" s="1"/>
      <c r="P109" s="1"/>
      <c r="Q109" s="1"/>
      <c r="R109" s="1"/>
      <c r="S109" s="1"/>
      <c r="T109" s="1"/>
      <c r="U109" s="1"/>
      <c r="V109" s="1"/>
      <c r="W109" s="1"/>
      <c r="X109" s="1"/>
      <c r="Y109" s="1"/>
      <c r="Z109" s="1"/>
    </row>
    <row r="110" ht="14.25" customHeight="1">
      <c r="A110" s="1"/>
      <c r="B110" s="48"/>
      <c r="C110" s="48"/>
      <c r="D110" s="48"/>
      <c r="E110" s="59"/>
      <c r="F110" s="62" t="s">
        <v>84</v>
      </c>
      <c r="G110" s="30"/>
      <c r="H110" s="47"/>
      <c r="I110" s="48"/>
      <c r="J110" s="48"/>
      <c r="K110" s="48"/>
      <c r="L110" s="48"/>
      <c r="M110" s="58"/>
      <c r="N110" s="1"/>
      <c r="O110" s="1"/>
      <c r="P110" s="1"/>
      <c r="Q110" s="1"/>
      <c r="R110" s="1"/>
      <c r="S110" s="1"/>
      <c r="T110" s="1"/>
      <c r="U110" s="1"/>
      <c r="V110" s="1"/>
      <c r="W110" s="1"/>
      <c r="X110" s="1"/>
      <c r="Y110" s="1"/>
      <c r="Z110" s="1"/>
    </row>
    <row r="111" ht="14.25" customHeight="1">
      <c r="A111" s="1"/>
      <c r="B111" s="50"/>
      <c r="C111" s="50"/>
      <c r="D111" s="50"/>
      <c r="E111" s="59"/>
      <c r="F111" s="52" t="s">
        <v>120</v>
      </c>
      <c r="G111" s="6"/>
      <c r="H111" s="64">
        <v>1.0</v>
      </c>
      <c r="I111" s="43"/>
      <c r="J111" s="43"/>
      <c r="K111" s="55">
        <v>0.5426</v>
      </c>
      <c r="L111" s="56">
        <f>((H111*K111)+(I111*K111)+(J111*K111))</f>
        <v>0.5426</v>
      </c>
      <c r="M111" s="58"/>
      <c r="N111" s="1"/>
      <c r="O111" s="1"/>
      <c r="P111" s="1"/>
      <c r="Q111" s="1"/>
      <c r="R111" s="1"/>
      <c r="S111" s="1"/>
      <c r="T111" s="1"/>
      <c r="U111" s="1"/>
      <c r="V111" s="1"/>
      <c r="W111" s="1"/>
      <c r="X111" s="1"/>
      <c r="Y111" s="1"/>
      <c r="Z111" s="1"/>
    </row>
    <row r="112" ht="14.25" customHeight="1">
      <c r="A112" s="1"/>
      <c r="B112" s="58"/>
      <c r="C112" s="58"/>
      <c r="D112" s="58"/>
      <c r="E112" s="59"/>
      <c r="F112" s="60" t="s">
        <v>121</v>
      </c>
      <c r="G112" s="15"/>
      <c r="H112" s="61"/>
      <c r="I112" s="58"/>
      <c r="J112" s="58"/>
      <c r="K112" s="58"/>
      <c r="L112" s="58"/>
      <c r="M112" s="58"/>
      <c r="N112" s="1"/>
      <c r="O112" s="1"/>
      <c r="P112" s="1"/>
      <c r="Q112" s="1"/>
      <c r="R112" s="1"/>
      <c r="S112" s="1"/>
      <c r="T112" s="1"/>
      <c r="U112" s="1"/>
      <c r="V112" s="1"/>
      <c r="W112" s="1"/>
      <c r="X112" s="1"/>
      <c r="Y112" s="1"/>
      <c r="Z112" s="1"/>
    </row>
    <row r="113" ht="14.25" customHeight="1">
      <c r="A113" s="1"/>
      <c r="B113" s="48"/>
      <c r="C113" s="48"/>
      <c r="D113" s="48"/>
      <c r="E113" s="46"/>
      <c r="F113" s="62" t="s">
        <v>84</v>
      </c>
      <c r="G113" s="30"/>
      <c r="H113" s="47"/>
      <c r="I113" s="48"/>
      <c r="J113" s="48"/>
      <c r="K113" s="48"/>
      <c r="L113" s="48"/>
      <c r="M113" s="48"/>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38" t="s">
        <v>122</v>
      </c>
      <c r="C116" s="12"/>
      <c r="D116" s="12"/>
      <c r="E116" s="12"/>
      <c r="F116" s="12"/>
      <c r="G116" s="12"/>
      <c r="H116" s="12"/>
      <c r="I116" s="12"/>
      <c r="J116" s="12"/>
      <c r="K116" s="12"/>
      <c r="L116" s="12"/>
      <c r="M116" s="13"/>
      <c r="N116" s="1"/>
      <c r="O116" s="1"/>
      <c r="P116" s="1"/>
      <c r="Q116" s="1"/>
      <c r="R116" s="1"/>
      <c r="S116" s="1"/>
      <c r="T116" s="1"/>
      <c r="U116" s="1"/>
      <c r="V116" s="1"/>
      <c r="W116" s="1"/>
      <c r="X116" s="1"/>
      <c r="Y116" s="1"/>
      <c r="Z116" s="1"/>
    </row>
    <row r="117" ht="14.25" customHeight="1">
      <c r="A117" s="1"/>
      <c r="B117" s="25" t="s">
        <v>19</v>
      </c>
      <c r="C117" s="12"/>
      <c r="D117" s="13"/>
      <c r="E117" s="39"/>
      <c r="F117" s="40"/>
      <c r="G117" s="41"/>
      <c r="H117" s="42" t="s">
        <v>20</v>
      </c>
      <c r="I117" s="42" t="s">
        <v>21</v>
      </c>
      <c r="J117" s="42" t="s">
        <v>22</v>
      </c>
      <c r="K117" s="43" t="s">
        <v>23</v>
      </c>
      <c r="L117" s="43" t="s">
        <v>24</v>
      </c>
      <c r="M117" s="43" t="s">
        <v>80</v>
      </c>
      <c r="N117" s="1"/>
      <c r="O117" s="1"/>
      <c r="P117" s="1"/>
      <c r="Q117" s="1"/>
      <c r="R117" s="1"/>
      <c r="S117" s="1"/>
      <c r="T117" s="1"/>
      <c r="U117" s="1"/>
      <c r="V117" s="1"/>
      <c r="W117" s="1"/>
      <c r="X117" s="1"/>
      <c r="Y117" s="1"/>
      <c r="Z117" s="1"/>
    </row>
    <row r="118" ht="14.25" customHeight="1">
      <c r="A118" s="1"/>
      <c r="B118" s="39" t="s">
        <v>27</v>
      </c>
      <c r="C118" s="39" t="s">
        <v>28</v>
      </c>
      <c r="D118" s="39" t="s">
        <v>29</v>
      </c>
      <c r="E118" s="39"/>
      <c r="F118" s="46"/>
      <c r="G118" s="47"/>
      <c r="H118" s="48"/>
      <c r="I118" s="48"/>
      <c r="J118" s="48"/>
      <c r="K118" s="48"/>
      <c r="L118" s="48"/>
      <c r="M118" s="48"/>
      <c r="N118" s="1"/>
      <c r="O118" s="1"/>
      <c r="P118" s="1"/>
      <c r="Q118" s="1"/>
      <c r="R118" s="1"/>
      <c r="S118" s="1"/>
      <c r="T118" s="1"/>
      <c r="U118" s="1"/>
      <c r="V118" s="1"/>
      <c r="W118" s="1"/>
      <c r="X118" s="1"/>
      <c r="Y118" s="1"/>
      <c r="Z118" s="1"/>
    </row>
    <row r="119" ht="14.25" customHeight="1">
      <c r="A119" s="1"/>
      <c r="B119" s="50"/>
      <c r="C119" s="43"/>
      <c r="D119" s="43"/>
      <c r="E119" s="51" t="s">
        <v>123</v>
      </c>
      <c r="F119" s="52" t="s">
        <v>124</v>
      </c>
      <c r="G119" s="6"/>
      <c r="H119" s="64">
        <v>1.0</v>
      </c>
      <c r="I119" s="43"/>
      <c r="J119" s="43"/>
      <c r="K119" s="66">
        <v>0.023</v>
      </c>
      <c r="L119" s="67">
        <f>((H119*K119)+(I119*K119)+(J119*K119))</f>
        <v>0.023</v>
      </c>
      <c r="M119" s="57">
        <f>SUM(L119:L154)</f>
        <v>2.078</v>
      </c>
      <c r="N119" s="1"/>
      <c r="O119" s="1"/>
      <c r="P119" s="1"/>
      <c r="Q119" s="1"/>
      <c r="R119" s="1"/>
      <c r="S119" s="1"/>
      <c r="T119" s="1"/>
      <c r="U119" s="1"/>
      <c r="V119" s="1"/>
      <c r="W119" s="1"/>
      <c r="X119" s="1"/>
      <c r="Y119" s="1"/>
      <c r="Z119" s="1"/>
    </row>
    <row r="120" ht="14.25" customHeight="1">
      <c r="A120" s="1"/>
      <c r="B120" s="58"/>
      <c r="C120" s="58"/>
      <c r="D120" s="58"/>
      <c r="E120" s="59"/>
      <c r="F120" s="60" t="s">
        <v>125</v>
      </c>
      <c r="G120" s="15"/>
      <c r="H120" s="61"/>
      <c r="I120" s="58"/>
      <c r="J120" s="58"/>
      <c r="K120" s="58"/>
      <c r="L120" s="58"/>
      <c r="M120" s="58"/>
      <c r="N120" s="1"/>
      <c r="O120" s="1"/>
      <c r="P120" s="1"/>
      <c r="Q120" s="1"/>
      <c r="R120" s="1"/>
      <c r="S120" s="1"/>
      <c r="T120" s="1"/>
      <c r="U120" s="1"/>
      <c r="V120" s="1"/>
      <c r="W120" s="1"/>
      <c r="X120" s="1"/>
      <c r="Y120" s="1"/>
      <c r="Z120" s="1"/>
    </row>
    <row r="121" ht="14.25" customHeight="1">
      <c r="A121" s="1"/>
      <c r="B121" s="48"/>
      <c r="C121" s="48"/>
      <c r="D121" s="48"/>
      <c r="E121" s="59"/>
      <c r="F121" s="62" t="s">
        <v>126</v>
      </c>
      <c r="G121" s="30"/>
      <c r="H121" s="47"/>
      <c r="I121" s="48"/>
      <c r="J121" s="48"/>
      <c r="K121" s="48"/>
      <c r="L121" s="48"/>
      <c r="M121" s="58"/>
      <c r="N121" s="1"/>
      <c r="O121" s="1"/>
      <c r="P121" s="1"/>
      <c r="Q121" s="1"/>
      <c r="R121" s="1"/>
      <c r="S121" s="1"/>
      <c r="T121" s="1"/>
      <c r="U121" s="1"/>
      <c r="V121" s="1"/>
      <c r="W121" s="1"/>
      <c r="X121" s="1"/>
      <c r="Y121" s="1"/>
      <c r="Z121" s="1"/>
    </row>
    <row r="122" ht="14.25" customHeight="1">
      <c r="A122" s="1"/>
      <c r="B122" s="50"/>
      <c r="C122" s="50"/>
      <c r="D122" s="43"/>
      <c r="E122" s="59"/>
      <c r="F122" s="52" t="s">
        <v>127</v>
      </c>
      <c r="G122" s="6"/>
      <c r="H122" s="64">
        <v>1.0</v>
      </c>
      <c r="I122" s="43"/>
      <c r="J122" s="43"/>
      <c r="K122" s="66">
        <v>0.031</v>
      </c>
      <c r="L122" s="67">
        <f>((H122*K122)+(I122*K122)+(J122*K122))</f>
        <v>0.031</v>
      </c>
      <c r="M122" s="58"/>
      <c r="N122" s="1"/>
      <c r="O122" s="1"/>
      <c r="P122" s="1"/>
      <c r="Q122" s="1"/>
      <c r="R122" s="1"/>
      <c r="S122" s="1"/>
      <c r="T122" s="1"/>
      <c r="U122" s="1"/>
      <c r="V122" s="1"/>
      <c r="W122" s="1"/>
      <c r="X122" s="1"/>
      <c r="Y122" s="1"/>
      <c r="Z122" s="1"/>
    </row>
    <row r="123" ht="14.25" customHeight="1">
      <c r="A123" s="1"/>
      <c r="B123" s="58"/>
      <c r="C123" s="58"/>
      <c r="D123" s="58"/>
      <c r="E123" s="59"/>
      <c r="F123" s="60" t="s">
        <v>128</v>
      </c>
      <c r="G123" s="15"/>
      <c r="H123" s="61"/>
      <c r="I123" s="58"/>
      <c r="J123" s="58"/>
      <c r="K123" s="58"/>
      <c r="L123" s="58"/>
      <c r="M123" s="58"/>
      <c r="N123" s="1"/>
      <c r="O123" s="1"/>
      <c r="P123" s="1"/>
      <c r="Q123" s="1"/>
      <c r="R123" s="1"/>
      <c r="S123" s="1"/>
      <c r="T123" s="1"/>
      <c r="U123" s="1"/>
      <c r="V123" s="1"/>
      <c r="W123" s="1"/>
      <c r="X123" s="1"/>
      <c r="Y123" s="1"/>
      <c r="Z123" s="1"/>
    </row>
    <row r="124" ht="14.25" customHeight="1">
      <c r="A124" s="1"/>
      <c r="B124" s="48"/>
      <c r="C124" s="48"/>
      <c r="D124" s="48"/>
      <c r="E124" s="59"/>
      <c r="F124" s="62" t="s">
        <v>129</v>
      </c>
      <c r="G124" s="30"/>
      <c r="H124" s="47"/>
      <c r="I124" s="48"/>
      <c r="J124" s="48"/>
      <c r="K124" s="48"/>
      <c r="L124" s="48"/>
      <c r="M124" s="58"/>
      <c r="N124" s="1"/>
      <c r="O124" s="1"/>
      <c r="P124" s="1"/>
      <c r="Q124" s="1"/>
      <c r="R124" s="1"/>
      <c r="S124" s="1"/>
      <c r="T124" s="1"/>
      <c r="U124" s="1"/>
      <c r="V124" s="1"/>
      <c r="W124" s="1"/>
      <c r="X124" s="1"/>
      <c r="Y124" s="1"/>
      <c r="Z124" s="1"/>
    </row>
    <row r="125" ht="14.25" customHeight="1">
      <c r="A125" s="1"/>
      <c r="B125" s="50"/>
      <c r="C125" s="50"/>
      <c r="D125" s="43"/>
      <c r="E125" s="59"/>
      <c r="F125" s="70" t="s">
        <v>130</v>
      </c>
      <c r="G125" s="6"/>
      <c r="H125" s="64">
        <v>1.0</v>
      </c>
      <c r="I125" s="54"/>
      <c r="J125" s="43"/>
      <c r="K125" s="66">
        <v>0.048</v>
      </c>
      <c r="L125" s="67">
        <f>((H125*K125)+(I125*K125)+(J125*K125))</f>
        <v>0.048</v>
      </c>
      <c r="M125" s="58"/>
      <c r="N125" s="1"/>
      <c r="O125" s="1"/>
      <c r="P125" s="1"/>
      <c r="Q125" s="1"/>
      <c r="R125" s="1"/>
      <c r="S125" s="1"/>
      <c r="T125" s="1"/>
      <c r="U125" s="1"/>
      <c r="V125" s="1"/>
      <c r="W125" s="1"/>
      <c r="X125" s="1"/>
      <c r="Y125" s="1"/>
      <c r="Z125" s="1"/>
    </row>
    <row r="126" ht="14.25" customHeight="1">
      <c r="A126" s="1"/>
      <c r="B126" s="58"/>
      <c r="C126" s="58"/>
      <c r="D126" s="58"/>
      <c r="E126" s="59"/>
      <c r="F126" s="60" t="s">
        <v>131</v>
      </c>
      <c r="G126" s="15"/>
      <c r="H126" s="61"/>
      <c r="I126" s="58"/>
      <c r="J126" s="58"/>
      <c r="K126" s="58"/>
      <c r="L126" s="58"/>
      <c r="M126" s="58"/>
      <c r="N126" s="1"/>
      <c r="O126" s="1"/>
      <c r="P126" s="1"/>
      <c r="Q126" s="1"/>
      <c r="R126" s="1"/>
      <c r="S126" s="1"/>
      <c r="T126" s="1"/>
      <c r="U126" s="1"/>
      <c r="V126" s="1"/>
      <c r="W126" s="1"/>
      <c r="X126" s="1"/>
      <c r="Y126" s="1"/>
      <c r="Z126" s="1"/>
    </row>
    <row r="127" ht="14.25" customHeight="1">
      <c r="A127" s="1"/>
      <c r="B127" s="48"/>
      <c r="C127" s="48"/>
      <c r="D127" s="48"/>
      <c r="E127" s="59"/>
      <c r="F127" s="62" t="s">
        <v>132</v>
      </c>
      <c r="G127" s="30"/>
      <c r="H127" s="47"/>
      <c r="I127" s="48"/>
      <c r="J127" s="48"/>
      <c r="K127" s="48"/>
      <c r="L127" s="48"/>
      <c r="M127" s="58"/>
      <c r="N127" s="1"/>
      <c r="O127" s="1"/>
      <c r="P127" s="1"/>
      <c r="Q127" s="1"/>
      <c r="R127" s="1"/>
      <c r="S127" s="1"/>
      <c r="T127" s="1"/>
      <c r="U127" s="1"/>
      <c r="V127" s="1"/>
      <c r="W127" s="1"/>
      <c r="X127" s="1"/>
      <c r="Y127" s="1"/>
      <c r="Z127" s="1"/>
    </row>
    <row r="128" ht="14.25" customHeight="1">
      <c r="A128" s="1"/>
      <c r="B128" s="50"/>
      <c r="C128" s="43"/>
      <c r="D128" s="43"/>
      <c r="E128" s="59"/>
      <c r="F128" s="52" t="s">
        <v>133</v>
      </c>
      <c r="G128" s="6"/>
      <c r="H128" s="64">
        <v>1.0</v>
      </c>
      <c r="I128" s="43"/>
      <c r="J128" s="43"/>
      <c r="K128" s="66">
        <v>0.023</v>
      </c>
      <c r="L128" s="67">
        <f>((H128*K128)+(I128*K128)+(J128*K128))</f>
        <v>0.023</v>
      </c>
      <c r="M128" s="58"/>
      <c r="N128" s="1"/>
      <c r="O128" s="1"/>
      <c r="P128" s="1"/>
      <c r="Q128" s="1"/>
      <c r="R128" s="1"/>
      <c r="S128" s="1"/>
      <c r="T128" s="1"/>
      <c r="U128" s="1"/>
      <c r="V128" s="1"/>
      <c r="W128" s="1"/>
      <c r="X128" s="1"/>
      <c r="Y128" s="1"/>
      <c r="Z128" s="1"/>
    </row>
    <row r="129" ht="14.25" customHeight="1">
      <c r="A129" s="1"/>
      <c r="B129" s="58"/>
      <c r="C129" s="58"/>
      <c r="D129" s="58"/>
      <c r="E129" s="59"/>
      <c r="F129" s="60" t="s">
        <v>134</v>
      </c>
      <c r="G129" s="15"/>
      <c r="H129" s="61"/>
      <c r="I129" s="58"/>
      <c r="J129" s="58"/>
      <c r="K129" s="58"/>
      <c r="L129" s="58"/>
      <c r="M129" s="58"/>
      <c r="N129" s="1"/>
      <c r="O129" s="1"/>
      <c r="P129" s="1"/>
      <c r="Q129" s="1"/>
      <c r="R129" s="1"/>
      <c r="S129" s="1"/>
      <c r="T129" s="1"/>
      <c r="U129" s="1"/>
      <c r="V129" s="1"/>
      <c r="W129" s="1"/>
      <c r="X129" s="1"/>
      <c r="Y129" s="1"/>
      <c r="Z129" s="1"/>
    </row>
    <row r="130" ht="14.25" customHeight="1">
      <c r="A130" s="1"/>
      <c r="B130" s="48"/>
      <c r="C130" s="48"/>
      <c r="D130" s="48"/>
      <c r="E130" s="59"/>
      <c r="F130" s="62" t="s">
        <v>135</v>
      </c>
      <c r="G130" s="30"/>
      <c r="H130" s="47"/>
      <c r="I130" s="48"/>
      <c r="J130" s="48"/>
      <c r="K130" s="48"/>
      <c r="L130" s="48"/>
      <c r="M130" s="58"/>
      <c r="N130" s="1"/>
      <c r="O130" s="1"/>
      <c r="P130" s="1"/>
      <c r="Q130" s="1"/>
      <c r="R130" s="1"/>
      <c r="S130" s="1"/>
      <c r="T130" s="1"/>
      <c r="U130" s="1"/>
      <c r="V130" s="1"/>
      <c r="W130" s="1"/>
      <c r="X130" s="1"/>
      <c r="Y130" s="1"/>
      <c r="Z130" s="1"/>
    </row>
    <row r="131" ht="14.25" customHeight="1">
      <c r="A131" s="1"/>
      <c r="B131" s="50"/>
      <c r="C131" s="50"/>
      <c r="D131" s="50"/>
      <c r="E131" s="59"/>
      <c r="F131" s="52" t="s">
        <v>136</v>
      </c>
      <c r="G131" s="6"/>
      <c r="H131" s="53"/>
      <c r="I131" s="54">
        <v>2.0</v>
      </c>
      <c r="J131" s="43"/>
      <c r="K131" s="66">
        <v>0.049</v>
      </c>
      <c r="L131" s="67">
        <f>((H131*K131)+(I131*K131)+(J131*K131))</f>
        <v>0.098</v>
      </c>
      <c r="M131" s="58"/>
      <c r="N131" s="1"/>
      <c r="O131" s="1"/>
      <c r="P131" s="1"/>
      <c r="Q131" s="1"/>
      <c r="R131" s="1"/>
      <c r="S131" s="1"/>
      <c r="T131" s="1"/>
      <c r="U131" s="1"/>
      <c r="V131" s="1"/>
      <c r="W131" s="1"/>
      <c r="X131" s="1"/>
      <c r="Y131" s="1"/>
      <c r="Z131" s="1"/>
    </row>
    <row r="132" ht="14.25" customHeight="1">
      <c r="A132" s="1"/>
      <c r="B132" s="58"/>
      <c r="C132" s="58"/>
      <c r="D132" s="58"/>
      <c r="E132" s="59"/>
      <c r="F132" s="60" t="s">
        <v>137</v>
      </c>
      <c r="G132" s="15"/>
      <c r="H132" s="61"/>
      <c r="I132" s="58"/>
      <c r="J132" s="58"/>
      <c r="K132" s="58"/>
      <c r="L132" s="58"/>
      <c r="M132" s="58"/>
      <c r="N132" s="1"/>
      <c r="O132" s="1"/>
      <c r="P132" s="1"/>
      <c r="Q132" s="1"/>
      <c r="R132" s="1"/>
      <c r="S132" s="1"/>
      <c r="T132" s="1"/>
      <c r="U132" s="1"/>
      <c r="V132" s="1"/>
      <c r="W132" s="1"/>
      <c r="X132" s="1"/>
      <c r="Y132" s="1"/>
      <c r="Z132" s="1"/>
    </row>
    <row r="133" ht="14.25" customHeight="1">
      <c r="A133" s="1"/>
      <c r="B133" s="48"/>
      <c r="C133" s="48"/>
      <c r="D133" s="48"/>
      <c r="E133" s="59"/>
      <c r="F133" s="62" t="s">
        <v>138</v>
      </c>
      <c r="G133" s="30"/>
      <c r="H133" s="47"/>
      <c r="I133" s="48"/>
      <c r="J133" s="48"/>
      <c r="K133" s="48"/>
      <c r="L133" s="48"/>
      <c r="M133" s="58"/>
      <c r="N133" s="1"/>
      <c r="O133" s="1"/>
      <c r="P133" s="1"/>
      <c r="Q133" s="1"/>
      <c r="R133" s="1"/>
      <c r="S133" s="1"/>
      <c r="T133" s="1"/>
      <c r="U133" s="1"/>
      <c r="V133" s="1"/>
      <c r="W133" s="1"/>
      <c r="X133" s="1"/>
      <c r="Y133" s="1"/>
      <c r="Z133" s="1"/>
    </row>
    <row r="134" ht="14.25" customHeight="1">
      <c r="A134" s="1"/>
      <c r="B134" s="50"/>
      <c r="C134" s="43"/>
      <c r="D134" s="43"/>
      <c r="E134" s="59"/>
      <c r="F134" s="52" t="s">
        <v>139</v>
      </c>
      <c r="G134" s="6"/>
      <c r="H134" s="64">
        <v>1.0</v>
      </c>
      <c r="I134" s="43"/>
      <c r="J134" s="43"/>
      <c r="K134" s="66">
        <v>0.2</v>
      </c>
      <c r="L134" s="67">
        <f>((H134*K134)+(I134*K134)+(J134*K134))</f>
        <v>0.2</v>
      </c>
      <c r="M134" s="58"/>
      <c r="N134" s="1"/>
      <c r="O134" s="1"/>
      <c r="P134" s="1"/>
      <c r="Q134" s="1"/>
      <c r="R134" s="1"/>
      <c r="S134" s="1"/>
      <c r="T134" s="1"/>
      <c r="U134" s="1"/>
      <c r="V134" s="1"/>
      <c r="W134" s="1"/>
      <c r="X134" s="1"/>
      <c r="Y134" s="1"/>
      <c r="Z134" s="1"/>
    </row>
    <row r="135" ht="14.25" customHeight="1">
      <c r="A135" s="1"/>
      <c r="B135" s="58"/>
      <c r="C135" s="58"/>
      <c r="D135" s="58"/>
      <c r="E135" s="59"/>
      <c r="F135" s="60" t="s">
        <v>140</v>
      </c>
      <c r="G135" s="15"/>
      <c r="H135" s="61"/>
      <c r="I135" s="58"/>
      <c r="J135" s="58"/>
      <c r="K135" s="58"/>
      <c r="L135" s="58"/>
      <c r="M135" s="58"/>
      <c r="N135" s="1"/>
      <c r="O135" s="1"/>
      <c r="P135" s="1"/>
      <c r="Q135" s="1"/>
      <c r="R135" s="1"/>
      <c r="S135" s="1"/>
      <c r="T135" s="1"/>
      <c r="U135" s="1"/>
      <c r="V135" s="1"/>
      <c r="W135" s="1"/>
      <c r="X135" s="1"/>
      <c r="Y135" s="1"/>
      <c r="Z135" s="1"/>
    </row>
    <row r="136" ht="14.25" customHeight="1">
      <c r="A136" s="1"/>
      <c r="B136" s="48"/>
      <c r="C136" s="48"/>
      <c r="D136" s="48"/>
      <c r="E136" s="59"/>
      <c r="F136" s="62" t="s">
        <v>141</v>
      </c>
      <c r="G136" s="30"/>
      <c r="H136" s="47"/>
      <c r="I136" s="48"/>
      <c r="J136" s="48"/>
      <c r="K136" s="48"/>
      <c r="L136" s="48"/>
      <c r="M136" s="58"/>
      <c r="N136" s="1"/>
      <c r="O136" s="1"/>
      <c r="P136" s="1"/>
      <c r="Q136" s="1"/>
      <c r="R136" s="1"/>
      <c r="S136" s="1"/>
      <c r="T136" s="1"/>
      <c r="U136" s="1"/>
      <c r="V136" s="1"/>
      <c r="W136" s="1"/>
      <c r="X136" s="1"/>
      <c r="Y136" s="1"/>
      <c r="Z136" s="1"/>
    </row>
    <row r="137" ht="14.25" customHeight="1">
      <c r="A137" s="1"/>
      <c r="B137" s="50"/>
      <c r="C137" s="43"/>
      <c r="D137" s="43"/>
      <c r="E137" s="59"/>
      <c r="F137" s="52" t="s">
        <v>142</v>
      </c>
      <c r="G137" s="6"/>
      <c r="H137" s="53"/>
      <c r="I137" s="43"/>
      <c r="J137" s="54">
        <v>3.0</v>
      </c>
      <c r="K137" s="66">
        <v>0.074</v>
      </c>
      <c r="L137" s="67">
        <f>((H137*K137)+(I137*K137)+(J137*K137))</f>
        <v>0.222</v>
      </c>
      <c r="M137" s="58"/>
      <c r="N137" s="1"/>
      <c r="O137" s="1"/>
      <c r="P137" s="1"/>
      <c r="Q137" s="1"/>
      <c r="R137" s="1"/>
      <c r="S137" s="1"/>
      <c r="T137" s="1"/>
      <c r="U137" s="1"/>
      <c r="V137" s="1"/>
      <c r="W137" s="1"/>
      <c r="X137" s="1"/>
      <c r="Y137" s="1"/>
      <c r="Z137" s="1"/>
    </row>
    <row r="138" ht="14.25" customHeight="1">
      <c r="A138" s="1"/>
      <c r="B138" s="58"/>
      <c r="C138" s="58"/>
      <c r="D138" s="58"/>
      <c r="E138" s="59"/>
      <c r="F138" s="60" t="s">
        <v>143</v>
      </c>
      <c r="G138" s="15"/>
      <c r="H138" s="61"/>
      <c r="I138" s="58"/>
      <c r="J138" s="58"/>
      <c r="K138" s="58"/>
      <c r="L138" s="58"/>
      <c r="M138" s="58"/>
      <c r="N138" s="1"/>
      <c r="O138" s="1"/>
      <c r="P138" s="1"/>
      <c r="Q138" s="1"/>
      <c r="R138" s="1"/>
      <c r="S138" s="1"/>
      <c r="T138" s="1"/>
      <c r="U138" s="1"/>
      <c r="V138" s="1"/>
      <c r="W138" s="1"/>
      <c r="X138" s="1"/>
      <c r="Y138" s="1"/>
      <c r="Z138" s="1"/>
    </row>
    <row r="139" ht="14.25" customHeight="1">
      <c r="A139" s="1"/>
      <c r="B139" s="48"/>
      <c r="C139" s="48"/>
      <c r="D139" s="48"/>
      <c r="E139" s="59"/>
      <c r="F139" s="62" t="s">
        <v>144</v>
      </c>
      <c r="G139" s="30"/>
      <c r="H139" s="47"/>
      <c r="I139" s="48"/>
      <c r="J139" s="48"/>
      <c r="K139" s="48"/>
      <c r="L139" s="48"/>
      <c r="M139" s="58"/>
      <c r="N139" s="1"/>
      <c r="O139" s="1"/>
      <c r="P139" s="1"/>
      <c r="Q139" s="1"/>
      <c r="R139" s="1"/>
      <c r="S139" s="1"/>
      <c r="T139" s="1"/>
      <c r="U139" s="1"/>
      <c r="V139" s="1"/>
      <c r="W139" s="1"/>
      <c r="X139" s="1"/>
      <c r="Y139" s="1"/>
      <c r="Z139" s="1"/>
    </row>
    <row r="140" ht="14.25" customHeight="1">
      <c r="A140" s="1"/>
      <c r="B140" s="50"/>
      <c r="C140" s="43"/>
      <c r="D140" s="43"/>
      <c r="E140" s="59"/>
      <c r="F140" s="52" t="s">
        <v>145</v>
      </c>
      <c r="G140" s="6"/>
      <c r="H140" s="53"/>
      <c r="I140" s="54">
        <v>2.0</v>
      </c>
      <c r="J140" s="43"/>
      <c r="K140" s="66">
        <v>0.141</v>
      </c>
      <c r="L140" s="67">
        <f>((H140*K140)+(I140*K140)+(J140*K140))</f>
        <v>0.282</v>
      </c>
      <c r="M140" s="58"/>
      <c r="N140" s="1"/>
      <c r="O140" s="1"/>
      <c r="P140" s="1"/>
      <c r="Q140" s="1"/>
      <c r="R140" s="1"/>
      <c r="S140" s="1"/>
      <c r="T140" s="1"/>
      <c r="U140" s="1"/>
      <c r="V140" s="1"/>
      <c r="W140" s="1"/>
      <c r="X140" s="1"/>
      <c r="Y140" s="1"/>
      <c r="Z140" s="1"/>
    </row>
    <row r="141" ht="14.25" customHeight="1">
      <c r="A141" s="1"/>
      <c r="B141" s="58"/>
      <c r="C141" s="58"/>
      <c r="D141" s="58"/>
      <c r="E141" s="59"/>
      <c r="F141" s="60" t="s">
        <v>146</v>
      </c>
      <c r="G141" s="15"/>
      <c r="H141" s="61"/>
      <c r="I141" s="58"/>
      <c r="J141" s="58"/>
      <c r="K141" s="58"/>
      <c r="L141" s="58"/>
      <c r="M141" s="58"/>
      <c r="N141" s="1"/>
      <c r="O141" s="1"/>
      <c r="P141" s="1"/>
      <c r="Q141" s="1"/>
      <c r="R141" s="1"/>
      <c r="S141" s="1"/>
      <c r="T141" s="1"/>
      <c r="U141" s="1"/>
      <c r="V141" s="1"/>
      <c r="W141" s="1"/>
      <c r="X141" s="1"/>
      <c r="Y141" s="1"/>
      <c r="Z141" s="1"/>
    </row>
    <row r="142" ht="14.25" customHeight="1">
      <c r="A142" s="1"/>
      <c r="B142" s="48"/>
      <c r="C142" s="48"/>
      <c r="D142" s="48"/>
      <c r="E142" s="59"/>
      <c r="F142" s="62" t="s">
        <v>147</v>
      </c>
      <c r="G142" s="30"/>
      <c r="H142" s="47"/>
      <c r="I142" s="48"/>
      <c r="J142" s="48"/>
      <c r="K142" s="48"/>
      <c r="L142" s="48"/>
      <c r="M142" s="58"/>
      <c r="N142" s="1"/>
      <c r="O142" s="1"/>
      <c r="P142" s="1"/>
      <c r="Q142" s="1"/>
      <c r="R142" s="1"/>
      <c r="S142" s="1"/>
      <c r="T142" s="1"/>
      <c r="U142" s="1"/>
      <c r="V142" s="1"/>
      <c r="W142" s="1"/>
      <c r="X142" s="1"/>
      <c r="Y142" s="1"/>
      <c r="Z142" s="1"/>
    </row>
    <row r="143" ht="14.25" customHeight="1">
      <c r="A143" s="1"/>
      <c r="B143" s="43"/>
      <c r="C143" s="50"/>
      <c r="D143" s="43"/>
      <c r="E143" s="59"/>
      <c r="F143" s="52" t="s">
        <v>148</v>
      </c>
      <c r="G143" s="6"/>
      <c r="H143" s="53"/>
      <c r="I143" s="54">
        <v>2.0</v>
      </c>
      <c r="J143" s="43"/>
      <c r="K143" s="66">
        <v>0.04</v>
      </c>
      <c r="L143" s="67">
        <f>((H143*K143)+(I143*K143)+(J143*K143))</f>
        <v>0.08</v>
      </c>
      <c r="M143" s="58"/>
      <c r="N143" s="1"/>
      <c r="O143" s="1"/>
      <c r="P143" s="1"/>
      <c r="Q143" s="1"/>
      <c r="R143" s="1"/>
      <c r="S143" s="1"/>
      <c r="T143" s="1"/>
      <c r="U143" s="1"/>
      <c r="V143" s="1"/>
      <c r="W143" s="1"/>
      <c r="X143" s="1"/>
      <c r="Y143" s="1"/>
      <c r="Z143" s="1"/>
    </row>
    <row r="144" ht="14.25" customHeight="1">
      <c r="A144" s="1"/>
      <c r="B144" s="58"/>
      <c r="C144" s="58"/>
      <c r="D144" s="58"/>
      <c r="E144" s="59"/>
      <c r="F144" s="60" t="s">
        <v>149</v>
      </c>
      <c r="G144" s="15"/>
      <c r="H144" s="61"/>
      <c r="I144" s="58"/>
      <c r="J144" s="58"/>
      <c r="K144" s="58"/>
      <c r="L144" s="58"/>
      <c r="M144" s="58"/>
      <c r="N144" s="1"/>
      <c r="O144" s="1"/>
      <c r="P144" s="1"/>
      <c r="Q144" s="1"/>
      <c r="R144" s="1"/>
      <c r="S144" s="1"/>
      <c r="T144" s="1"/>
      <c r="U144" s="1"/>
      <c r="V144" s="1"/>
      <c r="W144" s="1"/>
      <c r="X144" s="1"/>
      <c r="Y144" s="1"/>
      <c r="Z144" s="1"/>
    </row>
    <row r="145" ht="14.25" customHeight="1">
      <c r="A145" s="1"/>
      <c r="B145" s="48"/>
      <c r="C145" s="48"/>
      <c r="D145" s="48"/>
      <c r="E145" s="59"/>
      <c r="F145" s="62" t="s">
        <v>150</v>
      </c>
      <c r="G145" s="30"/>
      <c r="H145" s="47"/>
      <c r="I145" s="48"/>
      <c r="J145" s="48"/>
      <c r="K145" s="48"/>
      <c r="L145" s="48"/>
      <c r="M145" s="58"/>
      <c r="N145" s="1"/>
      <c r="O145" s="1"/>
      <c r="P145" s="1"/>
      <c r="Q145" s="1"/>
      <c r="R145" s="1"/>
      <c r="S145" s="1"/>
      <c r="T145" s="1"/>
      <c r="U145" s="1"/>
      <c r="V145" s="1"/>
      <c r="W145" s="1"/>
      <c r="X145" s="1"/>
      <c r="Y145" s="1"/>
      <c r="Z145" s="1"/>
    </row>
    <row r="146" ht="14.25" customHeight="1">
      <c r="A146" s="1"/>
      <c r="B146" s="43"/>
      <c r="C146" s="50"/>
      <c r="D146" s="50"/>
      <c r="E146" s="59"/>
      <c r="F146" s="52" t="s">
        <v>151</v>
      </c>
      <c r="G146" s="6"/>
      <c r="H146" s="53"/>
      <c r="I146" s="43"/>
      <c r="J146" s="54">
        <v>3.0</v>
      </c>
      <c r="K146" s="66">
        <v>0.108</v>
      </c>
      <c r="L146" s="67">
        <f>((H146*K146)+(I146*K146)+(J146*K146))</f>
        <v>0.324</v>
      </c>
      <c r="M146" s="58"/>
      <c r="N146" s="1"/>
      <c r="O146" s="1"/>
      <c r="P146" s="1"/>
      <c r="Q146" s="1"/>
      <c r="R146" s="1"/>
      <c r="S146" s="1"/>
      <c r="T146" s="1"/>
      <c r="U146" s="1"/>
      <c r="V146" s="1"/>
      <c r="W146" s="1"/>
      <c r="X146" s="1"/>
      <c r="Y146" s="1"/>
      <c r="Z146" s="1"/>
    </row>
    <row r="147" ht="14.25" customHeight="1">
      <c r="A147" s="1"/>
      <c r="B147" s="58"/>
      <c r="C147" s="58"/>
      <c r="D147" s="58"/>
      <c r="E147" s="59"/>
      <c r="F147" s="60" t="s">
        <v>152</v>
      </c>
      <c r="G147" s="15"/>
      <c r="H147" s="61"/>
      <c r="I147" s="58"/>
      <c r="J147" s="58"/>
      <c r="K147" s="58"/>
      <c r="L147" s="58"/>
      <c r="M147" s="58"/>
      <c r="N147" s="1"/>
      <c r="O147" s="1"/>
      <c r="P147" s="1"/>
      <c r="Q147" s="1"/>
      <c r="R147" s="1"/>
      <c r="S147" s="1"/>
      <c r="T147" s="1"/>
      <c r="U147" s="1"/>
      <c r="V147" s="1"/>
      <c r="W147" s="1"/>
      <c r="X147" s="1"/>
      <c r="Y147" s="1"/>
      <c r="Z147" s="1"/>
    </row>
    <row r="148" ht="14.25" customHeight="1">
      <c r="A148" s="1"/>
      <c r="B148" s="48"/>
      <c r="C148" s="48"/>
      <c r="D148" s="48"/>
      <c r="E148" s="59"/>
      <c r="F148" s="62" t="s">
        <v>153</v>
      </c>
      <c r="G148" s="30"/>
      <c r="H148" s="47"/>
      <c r="I148" s="48"/>
      <c r="J148" s="48"/>
      <c r="K148" s="48"/>
      <c r="L148" s="48"/>
      <c r="M148" s="58"/>
      <c r="N148" s="1"/>
      <c r="O148" s="1"/>
      <c r="P148" s="1"/>
      <c r="Q148" s="1"/>
      <c r="R148" s="1"/>
      <c r="S148" s="1"/>
      <c r="T148" s="1"/>
      <c r="U148" s="1"/>
      <c r="V148" s="1"/>
      <c r="W148" s="1"/>
      <c r="X148" s="1"/>
      <c r="Y148" s="1"/>
      <c r="Z148" s="1"/>
    </row>
    <row r="149" ht="14.25" customHeight="1">
      <c r="A149" s="1"/>
      <c r="B149" s="43"/>
      <c r="C149" s="50"/>
      <c r="D149" s="43"/>
      <c r="E149" s="59"/>
      <c r="F149" s="52" t="s">
        <v>154</v>
      </c>
      <c r="G149" s="6"/>
      <c r="H149" s="53"/>
      <c r="I149" s="43"/>
      <c r="J149" s="54">
        <v>3.0</v>
      </c>
      <c r="K149" s="66">
        <v>0.221</v>
      </c>
      <c r="L149" s="67">
        <f>((H149*K149)+(I149*K149)+(J149*K149))</f>
        <v>0.663</v>
      </c>
      <c r="M149" s="58"/>
      <c r="N149" s="1"/>
      <c r="O149" s="1"/>
      <c r="P149" s="1"/>
      <c r="Q149" s="1"/>
      <c r="R149" s="1"/>
      <c r="S149" s="1"/>
      <c r="T149" s="1"/>
      <c r="U149" s="1"/>
      <c r="V149" s="1"/>
      <c r="W149" s="1"/>
      <c r="X149" s="1"/>
      <c r="Y149" s="1"/>
      <c r="Z149" s="1"/>
    </row>
    <row r="150" ht="14.25" customHeight="1">
      <c r="A150" s="1"/>
      <c r="B150" s="58"/>
      <c r="C150" s="58"/>
      <c r="D150" s="58"/>
      <c r="E150" s="59"/>
      <c r="F150" s="60" t="s">
        <v>155</v>
      </c>
      <c r="G150" s="15"/>
      <c r="H150" s="61"/>
      <c r="I150" s="58"/>
      <c r="J150" s="58"/>
      <c r="K150" s="58"/>
      <c r="L150" s="58"/>
      <c r="M150" s="58"/>
      <c r="N150" s="1"/>
      <c r="O150" s="1"/>
      <c r="P150" s="1"/>
      <c r="Q150" s="1"/>
      <c r="R150" s="1"/>
      <c r="S150" s="1"/>
      <c r="T150" s="1"/>
      <c r="U150" s="1"/>
      <c r="V150" s="1"/>
      <c r="W150" s="1"/>
      <c r="X150" s="1"/>
      <c r="Y150" s="1"/>
      <c r="Z150" s="1"/>
    </row>
    <row r="151" ht="14.25" customHeight="1">
      <c r="A151" s="1"/>
      <c r="B151" s="48"/>
      <c r="C151" s="48"/>
      <c r="D151" s="48"/>
      <c r="E151" s="59"/>
      <c r="F151" s="62" t="s">
        <v>156</v>
      </c>
      <c r="G151" s="30"/>
      <c r="H151" s="47"/>
      <c r="I151" s="48"/>
      <c r="J151" s="48"/>
      <c r="K151" s="48"/>
      <c r="L151" s="48"/>
      <c r="M151" s="58"/>
      <c r="N151" s="1"/>
      <c r="O151" s="1"/>
      <c r="P151" s="1"/>
      <c r="Q151" s="1"/>
      <c r="R151" s="1"/>
      <c r="S151" s="1"/>
      <c r="T151" s="1"/>
      <c r="U151" s="1"/>
      <c r="V151" s="1"/>
      <c r="W151" s="1"/>
      <c r="X151" s="1"/>
      <c r="Y151" s="1"/>
      <c r="Z151" s="1"/>
    </row>
    <row r="152" ht="14.25" customHeight="1">
      <c r="A152" s="1"/>
      <c r="B152" s="43"/>
      <c r="C152" s="43"/>
      <c r="D152" s="50"/>
      <c r="E152" s="59"/>
      <c r="F152" s="52" t="s">
        <v>157</v>
      </c>
      <c r="G152" s="6"/>
      <c r="H152" s="71"/>
      <c r="I152" s="54">
        <v>2.0</v>
      </c>
      <c r="J152" s="43"/>
      <c r="K152" s="66">
        <v>0.042</v>
      </c>
      <c r="L152" s="67">
        <f>((H152*K152)+(I152*K152)+(J152*K152))</f>
        <v>0.084</v>
      </c>
      <c r="M152" s="58"/>
      <c r="N152" s="1"/>
      <c r="O152" s="1"/>
      <c r="P152" s="1"/>
      <c r="Q152" s="1"/>
      <c r="R152" s="1"/>
      <c r="S152" s="1"/>
      <c r="T152" s="1"/>
      <c r="U152" s="1"/>
      <c r="V152" s="1"/>
      <c r="W152" s="1"/>
      <c r="X152" s="1"/>
      <c r="Y152" s="1"/>
      <c r="Z152" s="1"/>
    </row>
    <row r="153" ht="14.25" customHeight="1">
      <c r="A153" s="1"/>
      <c r="B153" s="58"/>
      <c r="C153" s="58"/>
      <c r="D153" s="58"/>
      <c r="E153" s="59"/>
      <c r="F153" s="60" t="s">
        <v>158</v>
      </c>
      <c r="G153" s="15"/>
      <c r="H153" s="61"/>
      <c r="I153" s="58"/>
      <c r="J153" s="58"/>
      <c r="K153" s="58"/>
      <c r="L153" s="58"/>
      <c r="M153" s="58"/>
      <c r="N153" s="1"/>
      <c r="O153" s="1"/>
      <c r="P153" s="1"/>
      <c r="Q153" s="1"/>
      <c r="R153" s="1"/>
      <c r="S153" s="1"/>
      <c r="T153" s="1"/>
      <c r="U153" s="1"/>
      <c r="V153" s="1"/>
      <c r="W153" s="1"/>
      <c r="X153" s="1"/>
      <c r="Y153" s="1"/>
      <c r="Z153" s="1"/>
    </row>
    <row r="154" ht="14.25" customHeight="1">
      <c r="A154" s="1"/>
      <c r="B154" s="48"/>
      <c r="C154" s="48"/>
      <c r="D154" s="48"/>
      <c r="E154" s="59"/>
      <c r="F154" s="62" t="s">
        <v>159</v>
      </c>
      <c r="G154" s="30"/>
      <c r="H154" s="47"/>
      <c r="I154" s="48"/>
      <c r="J154" s="48"/>
      <c r="K154" s="48"/>
      <c r="L154" s="48"/>
      <c r="M154" s="48"/>
      <c r="N154" s="1"/>
      <c r="O154" s="1"/>
      <c r="P154" s="1"/>
      <c r="Q154" s="1"/>
      <c r="R154" s="1"/>
      <c r="S154" s="1"/>
      <c r="T154" s="1"/>
      <c r="U154" s="1"/>
      <c r="V154" s="1"/>
      <c r="W154" s="1"/>
      <c r="X154" s="1"/>
      <c r="Y154" s="1"/>
      <c r="Z154" s="1"/>
    </row>
    <row r="155" ht="14.25" customHeight="1">
      <c r="A155" s="1"/>
      <c r="B155" s="50"/>
      <c r="C155" s="43"/>
      <c r="D155" s="43"/>
      <c r="E155" s="72" t="s">
        <v>160</v>
      </c>
      <c r="F155" s="52" t="s">
        <v>161</v>
      </c>
      <c r="G155" s="6"/>
      <c r="H155" s="64">
        <v>1.0</v>
      </c>
      <c r="I155" s="54"/>
      <c r="J155" s="43"/>
      <c r="K155" s="55">
        <v>0.103</v>
      </c>
      <c r="L155" s="56">
        <f>((H155*K155)+(I155*K155)+(J155*K155))</f>
        <v>0.103</v>
      </c>
      <c r="M155" s="57">
        <f>SUM(L155:L172)</f>
        <v>2.2953</v>
      </c>
      <c r="N155" s="1"/>
      <c r="O155" s="1"/>
      <c r="P155" s="1"/>
      <c r="Q155" s="1"/>
      <c r="R155" s="1"/>
      <c r="S155" s="1"/>
      <c r="T155" s="1"/>
      <c r="U155" s="1"/>
      <c r="V155" s="1"/>
      <c r="W155" s="1"/>
      <c r="X155" s="1"/>
      <c r="Y155" s="1"/>
      <c r="Z155" s="1"/>
    </row>
    <row r="156" ht="14.25" customHeight="1">
      <c r="A156" s="1"/>
      <c r="B156" s="58"/>
      <c r="C156" s="58"/>
      <c r="D156" s="58"/>
      <c r="E156" s="59"/>
      <c r="F156" s="69" t="s">
        <v>162</v>
      </c>
      <c r="G156" s="15"/>
      <c r="H156" s="61"/>
      <c r="I156" s="58"/>
      <c r="J156" s="58"/>
      <c r="K156" s="58"/>
      <c r="L156" s="58"/>
      <c r="M156" s="58"/>
      <c r="N156" s="1"/>
      <c r="O156" s="1"/>
      <c r="P156" s="1"/>
      <c r="Q156" s="1"/>
      <c r="R156" s="1"/>
      <c r="S156" s="1"/>
      <c r="T156" s="1"/>
      <c r="U156" s="1"/>
      <c r="V156" s="1"/>
      <c r="W156" s="1"/>
      <c r="X156" s="1"/>
      <c r="Y156" s="1"/>
      <c r="Z156" s="1"/>
    </row>
    <row r="157" ht="14.25" customHeight="1">
      <c r="A157" s="1"/>
      <c r="B157" s="48"/>
      <c r="C157" s="48"/>
      <c r="D157" s="48"/>
      <c r="E157" s="59"/>
      <c r="F157" s="62" t="s">
        <v>163</v>
      </c>
      <c r="G157" s="30"/>
      <c r="H157" s="47"/>
      <c r="I157" s="48"/>
      <c r="J157" s="48"/>
      <c r="K157" s="48"/>
      <c r="L157" s="48"/>
      <c r="M157" s="58"/>
      <c r="N157" s="1"/>
      <c r="O157" s="1"/>
      <c r="P157" s="1"/>
      <c r="Q157" s="1"/>
      <c r="R157" s="1"/>
      <c r="S157" s="1"/>
      <c r="T157" s="1"/>
      <c r="U157" s="1"/>
      <c r="V157" s="1"/>
      <c r="W157" s="1"/>
      <c r="X157" s="1"/>
      <c r="Y157" s="1"/>
      <c r="Z157" s="1"/>
    </row>
    <row r="158" ht="14.25" customHeight="1">
      <c r="A158" s="1"/>
      <c r="B158" s="50"/>
      <c r="C158" s="43"/>
      <c r="D158" s="43"/>
      <c r="E158" s="59"/>
      <c r="F158" s="52" t="s">
        <v>164</v>
      </c>
      <c r="G158" s="6"/>
      <c r="H158" s="73">
        <v>1.0</v>
      </c>
      <c r="I158" s="43"/>
      <c r="J158" s="43"/>
      <c r="K158" s="55">
        <v>0.2495</v>
      </c>
      <c r="L158" s="56">
        <f>((H158*K158)+(I158*K158)+(J158*K158))</f>
        <v>0.2495</v>
      </c>
      <c r="M158" s="58"/>
      <c r="N158" s="1"/>
      <c r="O158" s="1"/>
      <c r="P158" s="1"/>
      <c r="Q158" s="1"/>
      <c r="R158" s="1"/>
      <c r="S158" s="1"/>
      <c r="T158" s="1"/>
      <c r="U158" s="1"/>
      <c r="V158" s="1"/>
      <c r="W158" s="1"/>
      <c r="X158" s="1"/>
      <c r="Y158" s="1"/>
      <c r="Z158" s="1"/>
    </row>
    <row r="159" ht="14.25" customHeight="1">
      <c r="A159" s="1"/>
      <c r="B159" s="58"/>
      <c r="C159" s="58"/>
      <c r="D159" s="58"/>
      <c r="E159" s="59"/>
      <c r="F159" s="60" t="s">
        <v>165</v>
      </c>
      <c r="G159" s="15"/>
      <c r="H159" s="61"/>
      <c r="I159" s="58"/>
      <c r="J159" s="58"/>
      <c r="K159" s="58"/>
      <c r="L159" s="58"/>
      <c r="M159" s="58"/>
      <c r="N159" s="1"/>
      <c r="O159" s="1"/>
      <c r="P159" s="1"/>
      <c r="Q159" s="1"/>
      <c r="R159" s="1"/>
      <c r="S159" s="1"/>
      <c r="T159" s="1"/>
      <c r="U159" s="1"/>
      <c r="V159" s="1"/>
      <c r="W159" s="1"/>
      <c r="X159" s="1"/>
      <c r="Y159" s="1"/>
      <c r="Z159" s="1"/>
    </row>
    <row r="160" ht="14.25" customHeight="1">
      <c r="A160" s="1"/>
      <c r="B160" s="48"/>
      <c r="C160" s="48"/>
      <c r="D160" s="48"/>
      <c r="E160" s="59"/>
      <c r="F160" s="62" t="s">
        <v>166</v>
      </c>
      <c r="G160" s="30"/>
      <c r="H160" s="47"/>
      <c r="I160" s="48"/>
      <c r="J160" s="48"/>
      <c r="K160" s="48"/>
      <c r="L160" s="48"/>
      <c r="M160" s="58"/>
      <c r="N160" s="1"/>
      <c r="O160" s="1"/>
      <c r="P160" s="1"/>
      <c r="Q160" s="1"/>
      <c r="R160" s="1"/>
      <c r="S160" s="1"/>
      <c r="T160" s="1"/>
      <c r="U160" s="1"/>
      <c r="V160" s="1"/>
      <c r="W160" s="1"/>
      <c r="X160" s="1"/>
      <c r="Y160" s="1"/>
      <c r="Z160" s="1"/>
    </row>
    <row r="161" ht="14.25" customHeight="1">
      <c r="A161" s="1"/>
      <c r="B161" s="50"/>
      <c r="C161" s="43"/>
      <c r="D161" s="43"/>
      <c r="E161" s="59"/>
      <c r="F161" s="52" t="s">
        <v>167</v>
      </c>
      <c r="G161" s="6"/>
      <c r="H161" s="53"/>
      <c r="I161" s="43"/>
      <c r="J161" s="54">
        <v>3.0</v>
      </c>
      <c r="K161" s="55">
        <v>0.1758</v>
      </c>
      <c r="L161" s="56">
        <f>((H161*K161)+(I161*K161)+(J161*K161))</f>
        <v>0.5274</v>
      </c>
      <c r="M161" s="58"/>
      <c r="N161" s="1"/>
      <c r="O161" s="1"/>
      <c r="P161" s="1"/>
      <c r="Q161" s="1"/>
      <c r="R161" s="1"/>
      <c r="S161" s="1"/>
      <c r="T161" s="1"/>
      <c r="U161" s="1"/>
      <c r="V161" s="1"/>
      <c r="W161" s="1"/>
      <c r="X161" s="1"/>
      <c r="Y161" s="1"/>
      <c r="Z161" s="1"/>
    </row>
    <row r="162" ht="14.25" customHeight="1">
      <c r="A162" s="1"/>
      <c r="B162" s="58"/>
      <c r="C162" s="58"/>
      <c r="D162" s="58"/>
      <c r="E162" s="59"/>
      <c r="F162" s="60" t="s">
        <v>168</v>
      </c>
      <c r="G162" s="15"/>
      <c r="H162" s="61"/>
      <c r="I162" s="58"/>
      <c r="J162" s="58"/>
      <c r="K162" s="58"/>
      <c r="L162" s="58"/>
      <c r="M162" s="58"/>
      <c r="N162" s="1"/>
      <c r="O162" s="1"/>
      <c r="P162" s="1"/>
      <c r="Q162" s="1"/>
      <c r="R162" s="1"/>
      <c r="S162" s="1"/>
      <c r="T162" s="1"/>
      <c r="U162" s="1"/>
      <c r="V162" s="1"/>
      <c r="W162" s="1"/>
      <c r="X162" s="1"/>
      <c r="Y162" s="1"/>
      <c r="Z162" s="1"/>
    </row>
    <row r="163" ht="14.25" customHeight="1">
      <c r="A163" s="1"/>
      <c r="B163" s="48"/>
      <c r="C163" s="48"/>
      <c r="D163" s="48"/>
      <c r="E163" s="59"/>
      <c r="F163" s="62" t="s">
        <v>166</v>
      </c>
      <c r="G163" s="30"/>
      <c r="H163" s="47"/>
      <c r="I163" s="48"/>
      <c r="J163" s="48"/>
      <c r="K163" s="48"/>
      <c r="L163" s="48"/>
      <c r="M163" s="58"/>
      <c r="N163" s="1"/>
      <c r="O163" s="1"/>
      <c r="P163" s="1"/>
      <c r="Q163" s="1"/>
      <c r="R163" s="1"/>
      <c r="S163" s="1"/>
      <c r="T163" s="1"/>
      <c r="U163" s="1"/>
      <c r="V163" s="1"/>
      <c r="W163" s="1"/>
      <c r="X163" s="1"/>
      <c r="Y163" s="1"/>
      <c r="Z163" s="1"/>
    </row>
    <row r="164" ht="14.25" customHeight="1">
      <c r="A164" s="1"/>
      <c r="B164" s="50"/>
      <c r="C164" s="43"/>
      <c r="D164" s="43"/>
      <c r="E164" s="59"/>
      <c r="F164" s="52" t="s">
        <v>169</v>
      </c>
      <c r="G164" s="6"/>
      <c r="H164" s="53"/>
      <c r="I164" s="43"/>
      <c r="J164" s="54">
        <v>3.0</v>
      </c>
      <c r="K164" s="55">
        <v>0.0555</v>
      </c>
      <c r="L164" s="56">
        <f>((H164*K164)+(I164*K164)+(J164*K164))</f>
        <v>0.1665</v>
      </c>
      <c r="M164" s="58"/>
      <c r="N164" s="1"/>
      <c r="O164" s="1"/>
      <c r="P164" s="1"/>
      <c r="Q164" s="1"/>
      <c r="R164" s="1"/>
      <c r="S164" s="1"/>
      <c r="T164" s="1"/>
      <c r="U164" s="1"/>
      <c r="V164" s="1"/>
      <c r="W164" s="1"/>
      <c r="X164" s="1"/>
      <c r="Y164" s="1"/>
      <c r="Z164" s="1"/>
    </row>
    <row r="165" ht="14.25" customHeight="1">
      <c r="A165" s="1"/>
      <c r="B165" s="58"/>
      <c r="C165" s="58"/>
      <c r="D165" s="58"/>
      <c r="E165" s="59"/>
      <c r="F165" s="60" t="s">
        <v>170</v>
      </c>
      <c r="G165" s="15"/>
      <c r="H165" s="61"/>
      <c r="I165" s="58"/>
      <c r="J165" s="58"/>
      <c r="K165" s="58"/>
      <c r="L165" s="58"/>
      <c r="M165" s="58"/>
      <c r="N165" s="1"/>
      <c r="O165" s="1"/>
      <c r="P165" s="1"/>
      <c r="Q165" s="1"/>
      <c r="R165" s="1"/>
      <c r="S165" s="1"/>
      <c r="T165" s="1"/>
      <c r="U165" s="1"/>
      <c r="V165" s="1"/>
      <c r="W165" s="1"/>
      <c r="X165" s="1"/>
      <c r="Y165" s="1"/>
      <c r="Z165" s="1"/>
    </row>
    <row r="166" ht="14.25" customHeight="1">
      <c r="A166" s="1"/>
      <c r="B166" s="48"/>
      <c r="C166" s="48"/>
      <c r="D166" s="48"/>
      <c r="E166" s="59"/>
      <c r="F166" s="62" t="s">
        <v>166</v>
      </c>
      <c r="G166" s="30"/>
      <c r="H166" s="47"/>
      <c r="I166" s="48"/>
      <c r="J166" s="48"/>
      <c r="K166" s="48"/>
      <c r="L166" s="48"/>
      <c r="M166" s="58"/>
      <c r="N166" s="1"/>
      <c r="O166" s="1"/>
      <c r="P166" s="1"/>
      <c r="Q166" s="1"/>
      <c r="R166" s="1"/>
      <c r="S166" s="1"/>
      <c r="T166" s="1"/>
      <c r="U166" s="1"/>
      <c r="V166" s="1"/>
      <c r="W166" s="1"/>
      <c r="X166" s="1"/>
      <c r="Y166" s="1"/>
      <c r="Z166" s="1"/>
    </row>
    <row r="167" ht="14.25" customHeight="1">
      <c r="A167" s="1"/>
      <c r="B167" s="50"/>
      <c r="C167" s="43"/>
      <c r="D167" s="43"/>
      <c r="E167" s="59"/>
      <c r="F167" s="52" t="s">
        <v>171</v>
      </c>
      <c r="G167" s="6"/>
      <c r="H167" s="53"/>
      <c r="I167" s="43"/>
      <c r="J167" s="54">
        <v>3.0</v>
      </c>
      <c r="K167" s="55">
        <v>0.2755</v>
      </c>
      <c r="L167" s="56">
        <f>((H167*K167)+(I167*K167)+(J167*K167))</f>
        <v>0.8265</v>
      </c>
      <c r="M167" s="58"/>
      <c r="N167" s="1"/>
      <c r="O167" s="1"/>
      <c r="P167" s="1"/>
      <c r="Q167" s="1"/>
      <c r="R167" s="1"/>
      <c r="S167" s="1"/>
      <c r="T167" s="1"/>
      <c r="U167" s="1"/>
      <c r="V167" s="1"/>
      <c r="W167" s="1"/>
      <c r="X167" s="1"/>
      <c r="Y167" s="1"/>
      <c r="Z167" s="1"/>
    </row>
    <row r="168" ht="14.25" customHeight="1">
      <c r="A168" s="1"/>
      <c r="B168" s="58"/>
      <c r="C168" s="58"/>
      <c r="D168" s="58"/>
      <c r="E168" s="59"/>
      <c r="F168" s="60" t="s">
        <v>172</v>
      </c>
      <c r="G168" s="15"/>
      <c r="H168" s="61"/>
      <c r="I168" s="58"/>
      <c r="J168" s="58"/>
      <c r="K168" s="58"/>
      <c r="L168" s="58"/>
      <c r="M168" s="58"/>
      <c r="N168" s="1"/>
      <c r="O168" s="1"/>
      <c r="P168" s="1"/>
      <c r="Q168" s="1"/>
      <c r="R168" s="1"/>
      <c r="S168" s="1"/>
      <c r="T168" s="1"/>
      <c r="U168" s="1"/>
      <c r="V168" s="1"/>
      <c r="W168" s="1"/>
      <c r="X168" s="1"/>
      <c r="Y168" s="1"/>
      <c r="Z168" s="1"/>
    </row>
    <row r="169" ht="14.25" customHeight="1">
      <c r="A169" s="1"/>
      <c r="B169" s="48"/>
      <c r="C169" s="48"/>
      <c r="D169" s="48"/>
      <c r="E169" s="59"/>
      <c r="F169" s="62" t="s">
        <v>166</v>
      </c>
      <c r="G169" s="30"/>
      <c r="H169" s="47"/>
      <c r="I169" s="48"/>
      <c r="J169" s="48"/>
      <c r="K169" s="48"/>
      <c r="L169" s="48"/>
      <c r="M169" s="58"/>
      <c r="N169" s="1"/>
      <c r="O169" s="1"/>
      <c r="P169" s="1"/>
      <c r="Q169" s="1"/>
      <c r="R169" s="1"/>
      <c r="S169" s="1"/>
      <c r="T169" s="1"/>
      <c r="U169" s="1"/>
      <c r="V169" s="1"/>
      <c r="W169" s="1"/>
      <c r="X169" s="1"/>
      <c r="Y169" s="1"/>
      <c r="Z169" s="1"/>
    </row>
    <row r="170" ht="14.25" customHeight="1">
      <c r="A170" s="1"/>
      <c r="B170" s="50"/>
      <c r="C170" s="43"/>
      <c r="D170" s="43"/>
      <c r="E170" s="59"/>
      <c r="F170" s="52" t="s">
        <v>173</v>
      </c>
      <c r="G170" s="6"/>
      <c r="H170" s="71"/>
      <c r="I170" s="43"/>
      <c r="J170" s="54">
        <v>3.0</v>
      </c>
      <c r="K170" s="55">
        <v>0.1408</v>
      </c>
      <c r="L170" s="56">
        <f>((H170*K170)+(I170*K170)+(J170*K170))</f>
        <v>0.4224</v>
      </c>
      <c r="M170" s="58"/>
      <c r="N170" s="1"/>
      <c r="O170" s="1"/>
      <c r="P170" s="1"/>
      <c r="Q170" s="1"/>
      <c r="R170" s="1"/>
      <c r="S170" s="1"/>
      <c r="T170" s="1"/>
      <c r="U170" s="1"/>
      <c r="V170" s="1"/>
      <c r="W170" s="1"/>
      <c r="X170" s="1"/>
      <c r="Y170" s="1"/>
      <c r="Z170" s="1"/>
    </row>
    <row r="171" ht="14.25" customHeight="1">
      <c r="A171" s="1"/>
      <c r="B171" s="58"/>
      <c r="C171" s="58"/>
      <c r="D171" s="58"/>
      <c r="E171" s="59"/>
      <c r="F171" s="60" t="s">
        <v>174</v>
      </c>
      <c r="G171" s="15"/>
      <c r="H171" s="61"/>
      <c r="I171" s="58"/>
      <c r="J171" s="58"/>
      <c r="K171" s="58"/>
      <c r="L171" s="58"/>
      <c r="M171" s="58"/>
      <c r="N171" s="1"/>
      <c r="O171" s="1"/>
      <c r="P171" s="1"/>
      <c r="Q171" s="1"/>
      <c r="R171" s="1"/>
      <c r="S171" s="1"/>
      <c r="T171" s="1"/>
      <c r="U171" s="1"/>
      <c r="V171" s="1"/>
      <c r="W171" s="1"/>
      <c r="X171" s="1"/>
      <c r="Y171" s="1"/>
      <c r="Z171" s="1"/>
    </row>
    <row r="172" ht="14.25" customHeight="1">
      <c r="A172" s="1"/>
      <c r="B172" s="48"/>
      <c r="C172" s="48"/>
      <c r="D172" s="48"/>
      <c r="E172" s="59"/>
      <c r="F172" s="62" t="s">
        <v>166</v>
      </c>
      <c r="G172" s="30"/>
      <c r="H172" s="47"/>
      <c r="I172" s="48"/>
      <c r="J172" s="48"/>
      <c r="K172" s="48"/>
      <c r="L172" s="48"/>
      <c r="M172" s="48"/>
      <c r="N172" s="1"/>
      <c r="O172" s="1"/>
      <c r="P172" s="1"/>
      <c r="Q172" s="1"/>
      <c r="R172" s="1"/>
      <c r="S172" s="1"/>
      <c r="T172" s="1"/>
      <c r="U172" s="1"/>
      <c r="V172" s="1"/>
      <c r="W172" s="1"/>
      <c r="X172" s="1"/>
      <c r="Y172" s="1"/>
      <c r="Z172" s="1"/>
    </row>
    <row r="173" ht="14.25" customHeight="1">
      <c r="A173" s="1"/>
      <c r="B173" s="43"/>
      <c r="C173" s="50"/>
      <c r="D173" s="43"/>
      <c r="E173" s="72" t="s">
        <v>175</v>
      </c>
      <c r="F173" s="52" t="s">
        <v>176</v>
      </c>
      <c r="G173" s="6"/>
      <c r="H173" s="53"/>
      <c r="I173" s="54">
        <v>2.0</v>
      </c>
      <c r="J173" s="54"/>
      <c r="K173" s="66">
        <v>0.1445</v>
      </c>
      <c r="L173" s="67">
        <f>((H173*K173)+(I173*K173)+(J173*K173))</f>
        <v>0.289</v>
      </c>
      <c r="M173" s="57">
        <f>SUM(L173:L181)</f>
        <v>2.6689</v>
      </c>
      <c r="N173" s="1"/>
      <c r="O173" s="1"/>
      <c r="P173" s="1"/>
      <c r="Q173" s="1"/>
      <c r="R173" s="1"/>
      <c r="S173" s="1"/>
      <c r="T173" s="1"/>
      <c r="U173" s="1"/>
      <c r="V173" s="1"/>
      <c r="W173" s="1"/>
      <c r="X173" s="1"/>
      <c r="Y173" s="1"/>
      <c r="Z173" s="1"/>
    </row>
    <row r="174" ht="14.25" customHeight="1">
      <c r="A174" s="1"/>
      <c r="B174" s="58"/>
      <c r="C174" s="58"/>
      <c r="D174" s="58"/>
      <c r="E174" s="59"/>
      <c r="F174" s="74" t="s">
        <v>177</v>
      </c>
      <c r="G174" s="15"/>
      <c r="H174" s="61"/>
      <c r="I174" s="58"/>
      <c r="J174" s="58"/>
      <c r="K174" s="58"/>
      <c r="L174" s="58"/>
      <c r="M174" s="58"/>
      <c r="N174" s="1"/>
      <c r="O174" s="1"/>
      <c r="P174" s="1"/>
      <c r="Q174" s="1"/>
      <c r="R174" s="1"/>
      <c r="S174" s="1"/>
      <c r="T174" s="1"/>
      <c r="U174" s="1"/>
      <c r="V174" s="1"/>
      <c r="W174" s="1"/>
      <c r="X174" s="1"/>
      <c r="Y174" s="1"/>
      <c r="Z174" s="1"/>
    </row>
    <row r="175" ht="14.25" customHeight="1">
      <c r="A175" s="1"/>
      <c r="B175" s="48"/>
      <c r="C175" s="48"/>
      <c r="D175" s="48"/>
      <c r="E175" s="59"/>
      <c r="F175" s="62" t="s">
        <v>178</v>
      </c>
      <c r="G175" s="30"/>
      <c r="H175" s="47"/>
      <c r="I175" s="48"/>
      <c r="J175" s="48"/>
      <c r="K175" s="48"/>
      <c r="L175" s="48"/>
      <c r="M175" s="58"/>
      <c r="N175" s="1"/>
      <c r="O175" s="1"/>
      <c r="P175" s="1"/>
      <c r="Q175" s="1"/>
      <c r="R175" s="1"/>
      <c r="S175" s="1"/>
      <c r="T175" s="1"/>
      <c r="U175" s="1"/>
      <c r="V175" s="1"/>
      <c r="W175" s="1"/>
      <c r="X175" s="1"/>
      <c r="Y175" s="1"/>
      <c r="Z175" s="1"/>
    </row>
    <row r="176" ht="14.25" customHeight="1">
      <c r="A176" s="1"/>
      <c r="B176" s="43"/>
      <c r="C176" s="50"/>
      <c r="D176" s="43"/>
      <c r="E176" s="59"/>
      <c r="F176" s="52" t="s">
        <v>179</v>
      </c>
      <c r="G176" s="6"/>
      <c r="H176" s="53"/>
      <c r="I176" s="43"/>
      <c r="J176" s="54">
        <v>3.0</v>
      </c>
      <c r="K176" s="66">
        <v>0.6693</v>
      </c>
      <c r="L176" s="67">
        <f>((H176*K176)+(I176*K176)+(J176*K176))</f>
        <v>2.0079</v>
      </c>
      <c r="M176" s="58"/>
      <c r="N176" s="1"/>
      <c r="O176" s="1"/>
      <c r="P176" s="1"/>
      <c r="Q176" s="1"/>
      <c r="R176" s="1"/>
      <c r="S176" s="1"/>
      <c r="T176" s="1"/>
      <c r="U176" s="1"/>
      <c r="V176" s="1"/>
      <c r="W176" s="1"/>
      <c r="X176" s="1"/>
      <c r="Y176" s="1"/>
      <c r="Z176" s="1"/>
    </row>
    <row r="177" ht="14.25" customHeight="1">
      <c r="A177" s="1"/>
      <c r="B177" s="58"/>
      <c r="C177" s="58"/>
      <c r="D177" s="58"/>
      <c r="E177" s="59"/>
      <c r="F177" s="60" t="s">
        <v>180</v>
      </c>
      <c r="G177" s="15"/>
      <c r="H177" s="61"/>
      <c r="I177" s="58"/>
      <c r="J177" s="58"/>
      <c r="K177" s="58"/>
      <c r="L177" s="58"/>
      <c r="M177" s="58"/>
      <c r="N177" s="1"/>
      <c r="O177" s="1"/>
      <c r="P177" s="1"/>
      <c r="Q177" s="1"/>
      <c r="R177" s="1"/>
      <c r="S177" s="1"/>
      <c r="T177" s="1"/>
      <c r="U177" s="1"/>
      <c r="V177" s="1"/>
      <c r="W177" s="1"/>
      <c r="X177" s="1"/>
      <c r="Y177" s="1"/>
      <c r="Z177" s="1"/>
    </row>
    <row r="178" ht="14.25" customHeight="1">
      <c r="A178" s="1"/>
      <c r="B178" s="48"/>
      <c r="C178" s="48"/>
      <c r="D178" s="48"/>
      <c r="E178" s="59"/>
      <c r="F178" s="62" t="s">
        <v>181</v>
      </c>
      <c r="G178" s="30"/>
      <c r="H178" s="47"/>
      <c r="I178" s="48"/>
      <c r="J178" s="48"/>
      <c r="K178" s="48"/>
      <c r="L178" s="48"/>
      <c r="M178" s="58"/>
      <c r="N178" s="1"/>
      <c r="O178" s="1"/>
      <c r="P178" s="1"/>
      <c r="Q178" s="1"/>
      <c r="R178" s="1"/>
      <c r="S178" s="1"/>
      <c r="T178" s="1"/>
      <c r="U178" s="1"/>
      <c r="V178" s="1"/>
      <c r="W178" s="1"/>
      <c r="X178" s="1"/>
      <c r="Y178" s="1"/>
      <c r="Z178" s="1"/>
    </row>
    <row r="179" ht="14.25" customHeight="1">
      <c r="A179" s="1"/>
      <c r="B179" s="43"/>
      <c r="C179" s="50"/>
      <c r="D179" s="50"/>
      <c r="E179" s="59"/>
      <c r="F179" s="52" t="s">
        <v>182</v>
      </c>
      <c r="G179" s="6"/>
      <c r="H179" s="53"/>
      <c r="I179" s="54">
        <v>2.0</v>
      </c>
      <c r="J179" s="43"/>
      <c r="K179" s="66">
        <v>0.186</v>
      </c>
      <c r="L179" s="67">
        <f>((H179*K179)+(I179*K179)+(J179*K179))</f>
        <v>0.372</v>
      </c>
      <c r="M179" s="58"/>
      <c r="N179" s="1"/>
      <c r="O179" s="1"/>
      <c r="P179" s="1"/>
      <c r="Q179" s="1"/>
      <c r="R179" s="1"/>
      <c r="S179" s="1"/>
      <c r="T179" s="1"/>
      <c r="U179" s="1"/>
      <c r="V179" s="1"/>
      <c r="W179" s="1"/>
      <c r="X179" s="1"/>
      <c r="Y179" s="1"/>
      <c r="Z179" s="1"/>
    </row>
    <row r="180" ht="14.25" customHeight="1">
      <c r="A180" s="1"/>
      <c r="B180" s="58"/>
      <c r="C180" s="58"/>
      <c r="D180" s="58"/>
      <c r="E180" s="59"/>
      <c r="F180" s="60" t="s">
        <v>183</v>
      </c>
      <c r="G180" s="15"/>
      <c r="H180" s="61"/>
      <c r="I180" s="58"/>
      <c r="J180" s="58"/>
      <c r="K180" s="58"/>
      <c r="L180" s="58"/>
      <c r="M180" s="58"/>
      <c r="N180" s="1"/>
      <c r="O180" s="1"/>
      <c r="P180" s="1"/>
      <c r="Q180" s="1"/>
      <c r="R180" s="1"/>
      <c r="S180" s="1"/>
      <c r="T180" s="1"/>
      <c r="U180" s="1"/>
      <c r="V180" s="1"/>
      <c r="W180" s="1"/>
      <c r="X180" s="1"/>
      <c r="Y180" s="1"/>
      <c r="Z180" s="1"/>
    </row>
    <row r="181" ht="14.25" customHeight="1">
      <c r="A181" s="1"/>
      <c r="B181" s="48"/>
      <c r="C181" s="48"/>
      <c r="D181" s="48"/>
      <c r="E181" s="46"/>
      <c r="F181" s="62" t="s">
        <v>184</v>
      </c>
      <c r="G181" s="30"/>
      <c r="H181" s="47"/>
      <c r="I181" s="48"/>
      <c r="J181" s="48"/>
      <c r="K181" s="48"/>
      <c r="L181" s="48"/>
      <c r="M181" s="48"/>
      <c r="N181" s="1"/>
      <c r="O181" s="1"/>
      <c r="P181" s="1"/>
      <c r="Q181" s="1"/>
      <c r="R181" s="1"/>
      <c r="S181" s="1"/>
      <c r="T181" s="1"/>
      <c r="U181" s="1"/>
      <c r="V181" s="1"/>
      <c r="W181" s="1"/>
      <c r="X181" s="1"/>
      <c r="Y181" s="1"/>
      <c r="Z181" s="1"/>
    </row>
    <row r="182" ht="14.25" customHeight="1">
      <c r="A182" s="1"/>
      <c r="B182" s="43"/>
      <c r="C182" s="50"/>
      <c r="D182" s="43"/>
      <c r="E182" s="75" t="s">
        <v>185</v>
      </c>
      <c r="F182" s="52" t="s">
        <v>186</v>
      </c>
      <c r="G182" s="6"/>
      <c r="H182" s="53"/>
      <c r="I182" s="54">
        <v>2.0</v>
      </c>
      <c r="J182" s="43"/>
      <c r="K182" s="55">
        <v>0.3006</v>
      </c>
      <c r="L182" s="56">
        <f>((H182*K182)+(I182*K182)+(J182*K182))</f>
        <v>0.6012</v>
      </c>
      <c r="M182" s="57">
        <f>SUM(L182:L187)</f>
        <v>2</v>
      </c>
      <c r="N182" s="1"/>
      <c r="O182" s="1"/>
      <c r="P182" s="1"/>
      <c r="Q182" s="1"/>
      <c r="R182" s="1"/>
      <c r="S182" s="1"/>
      <c r="T182" s="1"/>
      <c r="U182" s="1"/>
      <c r="V182" s="1"/>
      <c r="W182" s="1"/>
      <c r="X182" s="1"/>
      <c r="Y182" s="1"/>
      <c r="Z182" s="1"/>
    </row>
    <row r="183" ht="14.25" customHeight="1">
      <c r="A183" s="1"/>
      <c r="B183" s="58"/>
      <c r="C183" s="58"/>
      <c r="D183" s="58"/>
      <c r="E183" s="59"/>
      <c r="F183" s="60" t="s">
        <v>187</v>
      </c>
      <c r="G183" s="15"/>
      <c r="H183" s="61"/>
      <c r="I183" s="58"/>
      <c r="J183" s="58"/>
      <c r="K183" s="58"/>
      <c r="L183" s="58"/>
      <c r="M183" s="58"/>
      <c r="N183" s="1"/>
      <c r="O183" s="1"/>
      <c r="P183" s="1"/>
      <c r="Q183" s="1"/>
      <c r="R183" s="1"/>
      <c r="S183" s="1"/>
      <c r="T183" s="1"/>
      <c r="U183" s="1"/>
      <c r="V183" s="1"/>
      <c r="W183" s="1"/>
      <c r="X183" s="1"/>
      <c r="Y183" s="1"/>
      <c r="Z183" s="1"/>
    </row>
    <row r="184" ht="14.25" customHeight="1">
      <c r="A184" s="1"/>
      <c r="B184" s="48"/>
      <c r="C184" s="48"/>
      <c r="D184" s="48"/>
      <c r="E184" s="59"/>
      <c r="F184" s="62" t="s">
        <v>188</v>
      </c>
      <c r="G184" s="30"/>
      <c r="H184" s="47"/>
      <c r="I184" s="48"/>
      <c r="J184" s="48"/>
      <c r="K184" s="48"/>
      <c r="L184" s="48"/>
      <c r="M184" s="58"/>
      <c r="N184" s="1"/>
      <c r="O184" s="1"/>
      <c r="P184" s="1"/>
      <c r="Q184" s="1"/>
      <c r="R184" s="1"/>
      <c r="S184" s="1"/>
      <c r="T184" s="1"/>
      <c r="U184" s="1"/>
      <c r="V184" s="1"/>
      <c r="W184" s="1"/>
      <c r="X184" s="1"/>
      <c r="Y184" s="1"/>
      <c r="Z184" s="1"/>
    </row>
    <row r="185" ht="14.25" customHeight="1">
      <c r="A185" s="1"/>
      <c r="B185" s="43"/>
      <c r="C185" s="50"/>
      <c r="D185" s="43"/>
      <c r="E185" s="59"/>
      <c r="F185" s="52" t="s">
        <v>189</v>
      </c>
      <c r="G185" s="6"/>
      <c r="H185" s="53"/>
      <c r="I185" s="54">
        <v>2.0</v>
      </c>
      <c r="J185" s="43"/>
      <c r="K185" s="55">
        <v>0.6994</v>
      </c>
      <c r="L185" s="56">
        <f>((H185*K185)+(I185*K185)+(J185*K185))</f>
        <v>1.3988</v>
      </c>
      <c r="M185" s="58"/>
      <c r="N185" s="1"/>
      <c r="O185" s="1"/>
      <c r="P185" s="1"/>
      <c r="Q185" s="1"/>
      <c r="R185" s="1"/>
      <c r="S185" s="1"/>
      <c r="T185" s="1"/>
      <c r="U185" s="1"/>
      <c r="V185" s="1"/>
      <c r="W185" s="1"/>
      <c r="X185" s="1"/>
      <c r="Y185" s="1"/>
      <c r="Z185" s="1"/>
    </row>
    <row r="186" ht="14.25" customHeight="1">
      <c r="A186" s="1"/>
      <c r="B186" s="58"/>
      <c r="C186" s="58"/>
      <c r="D186" s="58"/>
      <c r="E186" s="59"/>
      <c r="F186" s="60" t="s">
        <v>190</v>
      </c>
      <c r="G186" s="15"/>
      <c r="H186" s="61"/>
      <c r="I186" s="58"/>
      <c r="J186" s="58"/>
      <c r="K186" s="58"/>
      <c r="L186" s="58"/>
      <c r="M186" s="58"/>
      <c r="N186" s="1"/>
      <c r="O186" s="1"/>
      <c r="P186" s="1"/>
      <c r="Q186" s="1"/>
      <c r="R186" s="1"/>
      <c r="S186" s="1"/>
      <c r="T186" s="1"/>
      <c r="U186" s="1"/>
      <c r="V186" s="1"/>
      <c r="W186" s="1"/>
      <c r="X186" s="1"/>
      <c r="Y186" s="1"/>
      <c r="Z186" s="1"/>
    </row>
    <row r="187" ht="14.25" customHeight="1">
      <c r="A187" s="1"/>
      <c r="B187" s="48"/>
      <c r="C187" s="48"/>
      <c r="D187" s="48"/>
      <c r="E187" s="59"/>
      <c r="F187" s="68" t="s">
        <v>191</v>
      </c>
      <c r="G187" s="30"/>
      <c r="H187" s="47"/>
      <c r="I187" s="48"/>
      <c r="J187" s="48"/>
      <c r="K187" s="48"/>
      <c r="L187" s="48"/>
      <c r="M187" s="48"/>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76" t="s">
        <v>192</v>
      </c>
      <c r="K190" s="13"/>
      <c r="L190" s="77">
        <f>AVERAGE(M21:M56)</f>
        <v>1.809933333</v>
      </c>
      <c r="M190" s="13"/>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76" t="s">
        <v>193</v>
      </c>
      <c r="K191" s="13"/>
      <c r="L191" s="77">
        <f>AVERAGE(M63:M113)</f>
        <v>1.31875</v>
      </c>
      <c r="M191" s="13"/>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76" t="s">
        <v>194</v>
      </c>
      <c r="K192" s="13"/>
      <c r="L192" s="77">
        <f>AVERAGE(M119:M187)</f>
        <v>2.26055</v>
      </c>
      <c r="M192" s="13"/>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76" t="s">
        <v>195</v>
      </c>
      <c r="K193" s="13"/>
      <c r="L193" s="77">
        <f>PRODUCT(L190:M192)</f>
        <v>5.395592826</v>
      </c>
      <c r="M193" s="13"/>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76" t="s">
        <v>196</v>
      </c>
      <c r="K194" s="13"/>
      <c r="L194" s="78">
        <f>((L193/27)*(10))</f>
        <v>1.998367713</v>
      </c>
      <c r="M194" s="13"/>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76" t="s">
        <v>197</v>
      </c>
      <c r="K195" s="13"/>
      <c r="L195" s="25" t="str">
        <f>IF(L194&lt;=3.58,"LOW RISK", IF(L194&lt;=6.79,"MODERATE RISK", IF(L194&lt;=10,"HIGH RISK")))</f>
        <v>LOW RISK</v>
      </c>
      <c r="M195" s="13"/>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sheetData>
  <mergeCells count="663">
    <mergeCell ref="B6:D6"/>
    <mergeCell ref="E6:F6"/>
    <mergeCell ref="H6:M7"/>
    <mergeCell ref="B7:D7"/>
    <mergeCell ref="E7:F7"/>
    <mergeCell ref="E8:F8"/>
    <mergeCell ref="H8:M16"/>
    <mergeCell ref="B15:F16"/>
    <mergeCell ref="B18:M18"/>
    <mergeCell ref="H19:H20"/>
    <mergeCell ref="I19:I20"/>
    <mergeCell ref="J19:J20"/>
    <mergeCell ref="E21:E32"/>
    <mergeCell ref="L21:L23"/>
    <mergeCell ref="K51:K53"/>
    <mergeCell ref="L51:L53"/>
    <mergeCell ref="F52:G52"/>
    <mergeCell ref="F53:G53"/>
    <mergeCell ref="F48:G48"/>
    <mergeCell ref="F49:G49"/>
    <mergeCell ref="F50:G50"/>
    <mergeCell ref="F51:G51"/>
    <mergeCell ref="H51:H53"/>
    <mergeCell ref="I51:I53"/>
    <mergeCell ref="J51:J53"/>
    <mergeCell ref="F54:G54"/>
    <mergeCell ref="F55:G55"/>
    <mergeCell ref="D51:D53"/>
    <mergeCell ref="D54:D56"/>
    <mergeCell ref="H54:H56"/>
    <mergeCell ref="I54:I56"/>
    <mergeCell ref="J54:J56"/>
    <mergeCell ref="K54:K56"/>
    <mergeCell ref="L54:L56"/>
    <mergeCell ref="F56:G56"/>
    <mergeCell ref="B54:B56"/>
    <mergeCell ref="B63:B65"/>
    <mergeCell ref="C63:C65"/>
    <mergeCell ref="D63:D65"/>
    <mergeCell ref="F64:G64"/>
    <mergeCell ref="F65:G65"/>
    <mergeCell ref="J61:J62"/>
    <mergeCell ref="K61:K62"/>
    <mergeCell ref="F63:G63"/>
    <mergeCell ref="H63:H65"/>
    <mergeCell ref="I63:I65"/>
    <mergeCell ref="J63:J65"/>
    <mergeCell ref="K63:K65"/>
    <mergeCell ref="B66:B68"/>
    <mergeCell ref="C66:C68"/>
    <mergeCell ref="F66:G66"/>
    <mergeCell ref="H66:H68"/>
    <mergeCell ref="I66:I68"/>
    <mergeCell ref="J66:J68"/>
    <mergeCell ref="K66:K68"/>
    <mergeCell ref="F70:G70"/>
    <mergeCell ref="F71:G71"/>
    <mergeCell ref="F67:G67"/>
    <mergeCell ref="F68:G68"/>
    <mergeCell ref="B69:B71"/>
    <mergeCell ref="C69:C71"/>
    <mergeCell ref="F69:G69"/>
    <mergeCell ref="H69:H71"/>
    <mergeCell ref="I69:I71"/>
    <mergeCell ref="L102:L104"/>
    <mergeCell ref="M102:M113"/>
    <mergeCell ref="L105:L107"/>
    <mergeCell ref="L108:L110"/>
    <mergeCell ref="L111:L113"/>
    <mergeCell ref="C102:C104"/>
    <mergeCell ref="D102:D104"/>
    <mergeCell ref="F102:G102"/>
    <mergeCell ref="H102:H104"/>
    <mergeCell ref="I102:I104"/>
    <mergeCell ref="J102:J104"/>
    <mergeCell ref="K102:K104"/>
    <mergeCell ref="B105:B107"/>
    <mergeCell ref="C105:C107"/>
    <mergeCell ref="B108:B110"/>
    <mergeCell ref="C108:C110"/>
    <mergeCell ref="B111:B113"/>
    <mergeCell ref="C111:C113"/>
    <mergeCell ref="B93:B95"/>
    <mergeCell ref="C93:C95"/>
    <mergeCell ref="B96:B98"/>
    <mergeCell ref="C96:C98"/>
    <mergeCell ref="B99:B101"/>
    <mergeCell ref="C99:C101"/>
    <mergeCell ref="B102:B104"/>
    <mergeCell ref="F103:G103"/>
    <mergeCell ref="F104:G104"/>
    <mergeCell ref="F105:G105"/>
    <mergeCell ref="H105:H107"/>
    <mergeCell ref="I105:I107"/>
    <mergeCell ref="J105:J107"/>
    <mergeCell ref="K105:K107"/>
    <mergeCell ref="F106:G106"/>
    <mergeCell ref="F107:G107"/>
    <mergeCell ref="F108:G108"/>
    <mergeCell ref="H108:H110"/>
    <mergeCell ref="I108:I110"/>
    <mergeCell ref="J108:J110"/>
    <mergeCell ref="K108:K110"/>
    <mergeCell ref="F109:G109"/>
    <mergeCell ref="F110:G110"/>
    <mergeCell ref="F111:G111"/>
    <mergeCell ref="H111:H113"/>
    <mergeCell ref="I111:I113"/>
    <mergeCell ref="J111:J113"/>
    <mergeCell ref="K111:K113"/>
    <mergeCell ref="F149:G149"/>
    <mergeCell ref="F152:G152"/>
    <mergeCell ref="H152:H154"/>
    <mergeCell ref="F153:G153"/>
    <mergeCell ref="F154:G154"/>
    <mergeCell ref="E102:E113"/>
    <mergeCell ref="E119:E154"/>
    <mergeCell ref="B149:B151"/>
    <mergeCell ref="C149:C151"/>
    <mergeCell ref="D149:D151"/>
    <mergeCell ref="H149:H151"/>
    <mergeCell ref="D152:D154"/>
    <mergeCell ref="D33:D35"/>
    <mergeCell ref="E33:E38"/>
    <mergeCell ref="D36:D38"/>
    <mergeCell ref="E39:E56"/>
    <mergeCell ref="D42:D44"/>
    <mergeCell ref="D45:D47"/>
    <mergeCell ref="D48:D50"/>
    <mergeCell ref="D84:D86"/>
    <mergeCell ref="D87:D89"/>
    <mergeCell ref="E63:E74"/>
    <mergeCell ref="D66:D68"/>
    <mergeCell ref="D69:D71"/>
    <mergeCell ref="D72:D74"/>
    <mergeCell ref="E75:E89"/>
    <mergeCell ref="D78:D80"/>
    <mergeCell ref="D81:D83"/>
    <mergeCell ref="E90:E101"/>
    <mergeCell ref="D93:D95"/>
    <mergeCell ref="D96:D98"/>
    <mergeCell ref="D99:D101"/>
    <mergeCell ref="D105:D107"/>
    <mergeCell ref="D108:D110"/>
    <mergeCell ref="D111:D113"/>
    <mergeCell ref="D122:D124"/>
    <mergeCell ref="I149:I151"/>
    <mergeCell ref="J149:J151"/>
    <mergeCell ref="K149:K151"/>
    <mergeCell ref="L149:L151"/>
    <mergeCell ref="I152:I154"/>
    <mergeCell ref="J152:J154"/>
    <mergeCell ref="K152:K154"/>
    <mergeCell ref="L152:L154"/>
    <mergeCell ref="F150:G150"/>
    <mergeCell ref="F151:G151"/>
    <mergeCell ref="B152:B154"/>
    <mergeCell ref="C152:C154"/>
    <mergeCell ref="B119:B121"/>
    <mergeCell ref="C119:C121"/>
    <mergeCell ref="D119:D121"/>
    <mergeCell ref="F119:G119"/>
    <mergeCell ref="H119:H121"/>
    <mergeCell ref="I119:I121"/>
    <mergeCell ref="J119:J121"/>
    <mergeCell ref="F120:G120"/>
    <mergeCell ref="F121:G121"/>
    <mergeCell ref="B122:B124"/>
    <mergeCell ref="C122:C124"/>
    <mergeCell ref="F122:G122"/>
    <mergeCell ref="H122:H124"/>
    <mergeCell ref="I122:I124"/>
    <mergeCell ref="F123:G123"/>
    <mergeCell ref="F124:G124"/>
    <mergeCell ref="F125:G125"/>
    <mergeCell ref="H125:H127"/>
    <mergeCell ref="I125:I127"/>
    <mergeCell ref="J125:J127"/>
    <mergeCell ref="K125:K127"/>
    <mergeCell ref="F126:G126"/>
    <mergeCell ref="F127:G127"/>
    <mergeCell ref="F128:G128"/>
    <mergeCell ref="H128:H130"/>
    <mergeCell ref="I128:I130"/>
    <mergeCell ref="J128:J130"/>
    <mergeCell ref="K128:K130"/>
    <mergeCell ref="F132:G132"/>
    <mergeCell ref="F133:G133"/>
    <mergeCell ref="F129:G129"/>
    <mergeCell ref="F130:G130"/>
    <mergeCell ref="F131:G131"/>
    <mergeCell ref="H131:H133"/>
    <mergeCell ref="I131:I133"/>
    <mergeCell ref="J131:J133"/>
    <mergeCell ref="K131:K133"/>
    <mergeCell ref="F134:G134"/>
    <mergeCell ref="F135:G135"/>
    <mergeCell ref="B134:B136"/>
    <mergeCell ref="C134:C136"/>
    <mergeCell ref="D134:D136"/>
    <mergeCell ref="H134:H136"/>
    <mergeCell ref="I134:I136"/>
    <mergeCell ref="J134:J136"/>
    <mergeCell ref="K134:K136"/>
    <mergeCell ref="F136:G136"/>
    <mergeCell ref="L134:L136"/>
    <mergeCell ref="L137:L139"/>
    <mergeCell ref="L140:L142"/>
    <mergeCell ref="L143:L145"/>
    <mergeCell ref="L146:L148"/>
    <mergeCell ref="L155:L157"/>
    <mergeCell ref="L117:L118"/>
    <mergeCell ref="M117:M118"/>
    <mergeCell ref="M119:M154"/>
    <mergeCell ref="L122:L124"/>
    <mergeCell ref="L125:L127"/>
    <mergeCell ref="L128:L130"/>
    <mergeCell ref="L131:L133"/>
    <mergeCell ref="L173:L175"/>
    <mergeCell ref="L176:L178"/>
    <mergeCell ref="L179:L181"/>
    <mergeCell ref="L182:L184"/>
    <mergeCell ref="M182:M187"/>
    <mergeCell ref="L185:L187"/>
    <mergeCell ref="L190:M190"/>
    <mergeCell ref="L191:M191"/>
    <mergeCell ref="L192:M192"/>
    <mergeCell ref="L193:M193"/>
    <mergeCell ref="L194:M194"/>
    <mergeCell ref="L195:M195"/>
    <mergeCell ref="M155:M172"/>
    <mergeCell ref="L158:L160"/>
    <mergeCell ref="L161:L163"/>
    <mergeCell ref="L164:L166"/>
    <mergeCell ref="L167:L169"/>
    <mergeCell ref="L170:L172"/>
    <mergeCell ref="M173:M181"/>
    <mergeCell ref="F168:G168"/>
    <mergeCell ref="F169:G169"/>
    <mergeCell ref="F170:G170"/>
    <mergeCell ref="H170:H172"/>
    <mergeCell ref="I170:I172"/>
    <mergeCell ref="J170:J172"/>
    <mergeCell ref="K170:K172"/>
    <mergeCell ref="F171:G171"/>
    <mergeCell ref="F172:G172"/>
    <mergeCell ref="F173:G173"/>
    <mergeCell ref="H173:H175"/>
    <mergeCell ref="I173:I175"/>
    <mergeCell ref="J173:J175"/>
    <mergeCell ref="K173:K175"/>
    <mergeCell ref="F174:G174"/>
    <mergeCell ref="F175:G175"/>
    <mergeCell ref="F176:G176"/>
    <mergeCell ref="H176:H178"/>
    <mergeCell ref="I176:I178"/>
    <mergeCell ref="J176:J178"/>
    <mergeCell ref="K176:K178"/>
    <mergeCell ref="J190:K190"/>
    <mergeCell ref="J191:K191"/>
    <mergeCell ref="J192:K192"/>
    <mergeCell ref="J193:K193"/>
    <mergeCell ref="J194:K194"/>
    <mergeCell ref="J195:K195"/>
    <mergeCell ref="F177:G177"/>
    <mergeCell ref="F178:G178"/>
    <mergeCell ref="F179:G179"/>
    <mergeCell ref="H179:H181"/>
    <mergeCell ref="I179:I181"/>
    <mergeCell ref="J179:J181"/>
    <mergeCell ref="K179:K181"/>
    <mergeCell ref="B8:D8"/>
    <mergeCell ref="B9:D9"/>
    <mergeCell ref="E9:F9"/>
    <mergeCell ref="B10:D10"/>
    <mergeCell ref="E10:F10"/>
    <mergeCell ref="B11:D11"/>
    <mergeCell ref="E11:F11"/>
    <mergeCell ref="B12:D12"/>
    <mergeCell ref="E12:F12"/>
    <mergeCell ref="B13:D13"/>
    <mergeCell ref="E13:F13"/>
    <mergeCell ref="B19:D19"/>
    <mergeCell ref="B21:B23"/>
    <mergeCell ref="C21:C23"/>
    <mergeCell ref="D21:D23"/>
    <mergeCell ref="P24:Z24"/>
    <mergeCell ref="P25:Z25"/>
    <mergeCell ref="P26:Z26"/>
    <mergeCell ref="P27:Z27"/>
    <mergeCell ref="P28:Z28"/>
    <mergeCell ref="P29:Z29"/>
    <mergeCell ref="K19:K20"/>
    <mergeCell ref="L19:L20"/>
    <mergeCell ref="P19:Z19"/>
    <mergeCell ref="P20:Z20"/>
    <mergeCell ref="P21:Z21"/>
    <mergeCell ref="P22:Z22"/>
    <mergeCell ref="P23:Z23"/>
    <mergeCell ref="H24:H26"/>
    <mergeCell ref="I24:I26"/>
    <mergeCell ref="J24:J26"/>
    <mergeCell ref="K24:K26"/>
    <mergeCell ref="L24:L26"/>
    <mergeCell ref="F25:G25"/>
    <mergeCell ref="F26:G26"/>
    <mergeCell ref="B27:B29"/>
    <mergeCell ref="C27:C29"/>
    <mergeCell ref="D27:D29"/>
    <mergeCell ref="F27:G27"/>
    <mergeCell ref="H27:H29"/>
    <mergeCell ref="I27:I29"/>
    <mergeCell ref="J27:J29"/>
    <mergeCell ref="K27:K29"/>
    <mergeCell ref="F19:G20"/>
    <mergeCell ref="F21:G21"/>
    <mergeCell ref="H21:H23"/>
    <mergeCell ref="I21:I23"/>
    <mergeCell ref="J21:J23"/>
    <mergeCell ref="K21:K23"/>
    <mergeCell ref="M19:M20"/>
    <mergeCell ref="M21:M32"/>
    <mergeCell ref="L27:L29"/>
    <mergeCell ref="L30:L32"/>
    <mergeCell ref="F22:G22"/>
    <mergeCell ref="F23:G23"/>
    <mergeCell ref="J30:J32"/>
    <mergeCell ref="K30:K32"/>
    <mergeCell ref="F31:G31"/>
    <mergeCell ref="F32:G32"/>
    <mergeCell ref="F41:G41"/>
    <mergeCell ref="F42:G42"/>
    <mergeCell ref="F34:G34"/>
    <mergeCell ref="F35:G35"/>
    <mergeCell ref="F36:G36"/>
    <mergeCell ref="F37:G37"/>
    <mergeCell ref="F38:G38"/>
    <mergeCell ref="F39:G39"/>
    <mergeCell ref="F40:G40"/>
    <mergeCell ref="B24:B26"/>
    <mergeCell ref="C24:C26"/>
    <mergeCell ref="B30:B32"/>
    <mergeCell ref="C30:C32"/>
    <mergeCell ref="D30:D32"/>
    <mergeCell ref="B33:B35"/>
    <mergeCell ref="C33:C35"/>
    <mergeCell ref="B36:B38"/>
    <mergeCell ref="C36:C38"/>
    <mergeCell ref="B39:B41"/>
    <mergeCell ref="C39:C41"/>
    <mergeCell ref="D39:D41"/>
    <mergeCell ref="B42:B44"/>
    <mergeCell ref="C42:C44"/>
    <mergeCell ref="H45:H47"/>
    <mergeCell ref="H48:H50"/>
    <mergeCell ref="H36:H38"/>
    <mergeCell ref="I36:I38"/>
    <mergeCell ref="H39:H41"/>
    <mergeCell ref="I39:I41"/>
    <mergeCell ref="H42:H44"/>
    <mergeCell ref="I42:I44"/>
    <mergeCell ref="I45:I47"/>
    <mergeCell ref="I48:I50"/>
    <mergeCell ref="J42:J44"/>
    <mergeCell ref="J48:J50"/>
    <mergeCell ref="J36:J38"/>
    <mergeCell ref="K36:K38"/>
    <mergeCell ref="J39:J41"/>
    <mergeCell ref="K39:K41"/>
    <mergeCell ref="L39:L41"/>
    <mergeCell ref="M39:M56"/>
    <mergeCell ref="L45:L47"/>
    <mergeCell ref="L61:L62"/>
    <mergeCell ref="M61:M62"/>
    <mergeCell ref="K48:K50"/>
    <mergeCell ref="L48:L50"/>
    <mergeCell ref="B60:M60"/>
    <mergeCell ref="B61:D61"/>
    <mergeCell ref="F61:G62"/>
    <mergeCell ref="H61:H62"/>
    <mergeCell ref="I61:I62"/>
    <mergeCell ref="D24:D26"/>
    <mergeCell ref="F24:G24"/>
    <mergeCell ref="F28:G28"/>
    <mergeCell ref="F29:G29"/>
    <mergeCell ref="F30:G30"/>
    <mergeCell ref="I30:I32"/>
    <mergeCell ref="F33:G33"/>
    <mergeCell ref="H30:H32"/>
    <mergeCell ref="H33:H35"/>
    <mergeCell ref="I33:I35"/>
    <mergeCell ref="J33:J35"/>
    <mergeCell ref="K33:K35"/>
    <mergeCell ref="L33:L35"/>
    <mergeCell ref="M33:M38"/>
    <mergeCell ref="L36:L38"/>
    <mergeCell ref="J45:J47"/>
    <mergeCell ref="K45:K47"/>
    <mergeCell ref="K42:K44"/>
    <mergeCell ref="L42:L44"/>
    <mergeCell ref="F43:G43"/>
    <mergeCell ref="F44:G44"/>
    <mergeCell ref="F45:G45"/>
    <mergeCell ref="F46:G46"/>
    <mergeCell ref="F47:G47"/>
    <mergeCell ref="L63:L65"/>
    <mergeCell ref="M63:M74"/>
    <mergeCell ref="L66:L68"/>
    <mergeCell ref="L69:L71"/>
    <mergeCell ref="L72:L74"/>
    <mergeCell ref="J69:J71"/>
    <mergeCell ref="K69:K71"/>
    <mergeCell ref="B45:B47"/>
    <mergeCell ref="C45:C47"/>
    <mergeCell ref="B48:B50"/>
    <mergeCell ref="C48:C50"/>
    <mergeCell ref="B51:B53"/>
    <mergeCell ref="C51:C53"/>
    <mergeCell ref="C54:C56"/>
    <mergeCell ref="F86:G86"/>
    <mergeCell ref="F87:G87"/>
    <mergeCell ref="I81:I83"/>
    <mergeCell ref="J81:J83"/>
    <mergeCell ref="F84:G84"/>
    <mergeCell ref="H84:H86"/>
    <mergeCell ref="I84:I86"/>
    <mergeCell ref="J84:J86"/>
    <mergeCell ref="F85:G85"/>
    <mergeCell ref="J87:J89"/>
    <mergeCell ref="K87:K89"/>
    <mergeCell ref="I75:I77"/>
    <mergeCell ref="J75:J77"/>
    <mergeCell ref="K75:K77"/>
    <mergeCell ref="L75:L77"/>
    <mergeCell ref="M75:M89"/>
    <mergeCell ref="I78:I80"/>
    <mergeCell ref="J78:J80"/>
    <mergeCell ref="L87:L89"/>
    <mergeCell ref="B72:B74"/>
    <mergeCell ref="C72:C74"/>
    <mergeCell ref="F72:G72"/>
    <mergeCell ref="H72:H74"/>
    <mergeCell ref="I72:I74"/>
    <mergeCell ref="J72:J74"/>
    <mergeCell ref="K72:K74"/>
    <mergeCell ref="B78:B80"/>
    <mergeCell ref="C78:C80"/>
    <mergeCell ref="B81:B83"/>
    <mergeCell ref="C81:C83"/>
    <mergeCell ref="B84:B86"/>
    <mergeCell ref="C84:C86"/>
    <mergeCell ref="B87:B89"/>
    <mergeCell ref="C87:C89"/>
    <mergeCell ref="F73:G73"/>
    <mergeCell ref="F74:G74"/>
    <mergeCell ref="B75:B77"/>
    <mergeCell ref="C75:C77"/>
    <mergeCell ref="D75:D77"/>
    <mergeCell ref="F75:G75"/>
    <mergeCell ref="H75:H77"/>
    <mergeCell ref="K78:K80"/>
    <mergeCell ref="L78:L80"/>
    <mergeCell ref="K81:K83"/>
    <mergeCell ref="L81:L83"/>
    <mergeCell ref="K84:K86"/>
    <mergeCell ref="L84:L86"/>
    <mergeCell ref="H87:H89"/>
    <mergeCell ref="I87:I89"/>
    <mergeCell ref="F88:G88"/>
    <mergeCell ref="F89:G89"/>
    <mergeCell ref="F96:G96"/>
    <mergeCell ref="F97:G97"/>
    <mergeCell ref="F91:G91"/>
    <mergeCell ref="F92:G92"/>
    <mergeCell ref="F93:G93"/>
    <mergeCell ref="H93:H95"/>
    <mergeCell ref="F94:G94"/>
    <mergeCell ref="F95:G95"/>
    <mergeCell ref="H96:H98"/>
    <mergeCell ref="F98:G98"/>
    <mergeCell ref="F76:G76"/>
    <mergeCell ref="F77:G77"/>
    <mergeCell ref="F78:G78"/>
    <mergeCell ref="H78:H80"/>
    <mergeCell ref="F79:G79"/>
    <mergeCell ref="F80:G80"/>
    <mergeCell ref="H81:H83"/>
    <mergeCell ref="F83:G83"/>
    <mergeCell ref="F81:G81"/>
    <mergeCell ref="F82:G82"/>
    <mergeCell ref="B90:B92"/>
    <mergeCell ref="C90:C92"/>
    <mergeCell ref="D90:D92"/>
    <mergeCell ref="F90:G90"/>
    <mergeCell ref="H90:H92"/>
    <mergeCell ref="K93:K95"/>
    <mergeCell ref="L93:L95"/>
    <mergeCell ref="I96:I98"/>
    <mergeCell ref="J96:J98"/>
    <mergeCell ref="F99:G99"/>
    <mergeCell ref="H99:H101"/>
    <mergeCell ref="I99:I101"/>
    <mergeCell ref="J99:J101"/>
    <mergeCell ref="F100:G100"/>
    <mergeCell ref="F101:G101"/>
    <mergeCell ref="K96:K98"/>
    <mergeCell ref="L96:L98"/>
    <mergeCell ref="K99:K101"/>
    <mergeCell ref="L99:L101"/>
    <mergeCell ref="I90:I92"/>
    <mergeCell ref="J90:J92"/>
    <mergeCell ref="K90:K92"/>
    <mergeCell ref="L90:L92"/>
    <mergeCell ref="M90:M101"/>
    <mergeCell ref="I93:I95"/>
    <mergeCell ref="J93:J95"/>
    <mergeCell ref="F137:G137"/>
    <mergeCell ref="F138:G138"/>
    <mergeCell ref="F140:G140"/>
    <mergeCell ref="H140:H142"/>
    <mergeCell ref="I140:I142"/>
    <mergeCell ref="J140:J142"/>
    <mergeCell ref="K140:K142"/>
    <mergeCell ref="F141:G141"/>
    <mergeCell ref="F142:G142"/>
    <mergeCell ref="F143:G143"/>
    <mergeCell ref="H143:H145"/>
    <mergeCell ref="I143:I145"/>
    <mergeCell ref="J143:J145"/>
    <mergeCell ref="K143:K145"/>
    <mergeCell ref="J117:J118"/>
    <mergeCell ref="K117:K118"/>
    <mergeCell ref="F112:G112"/>
    <mergeCell ref="F113:G113"/>
    <mergeCell ref="B116:M116"/>
    <mergeCell ref="B117:D117"/>
    <mergeCell ref="F117:G118"/>
    <mergeCell ref="H117:H118"/>
    <mergeCell ref="I117:I118"/>
    <mergeCell ref="K119:K121"/>
    <mergeCell ref="L119:L121"/>
    <mergeCell ref="J122:J124"/>
    <mergeCell ref="K122:K124"/>
    <mergeCell ref="B137:B139"/>
    <mergeCell ref="C137:C139"/>
    <mergeCell ref="D137:D139"/>
    <mergeCell ref="H137:H139"/>
    <mergeCell ref="I137:I139"/>
    <mergeCell ref="J137:J139"/>
    <mergeCell ref="K137:K139"/>
    <mergeCell ref="F139:G139"/>
    <mergeCell ref="C146:C148"/>
    <mergeCell ref="D146:D148"/>
    <mergeCell ref="B140:B142"/>
    <mergeCell ref="C140:C142"/>
    <mergeCell ref="D140:D142"/>
    <mergeCell ref="B143:B145"/>
    <mergeCell ref="C143:C145"/>
    <mergeCell ref="D143:D145"/>
    <mergeCell ref="B146:B148"/>
    <mergeCell ref="B155:B157"/>
    <mergeCell ref="C155:C157"/>
    <mergeCell ref="D155:D157"/>
    <mergeCell ref="E155:E172"/>
    <mergeCell ref="C158:C160"/>
    <mergeCell ref="D158:D160"/>
    <mergeCell ref="D161:D163"/>
    <mergeCell ref="C176:C178"/>
    <mergeCell ref="D176:D178"/>
    <mergeCell ref="D167:D169"/>
    <mergeCell ref="B170:B172"/>
    <mergeCell ref="C170:C172"/>
    <mergeCell ref="D170:D172"/>
    <mergeCell ref="C173:C175"/>
    <mergeCell ref="D173:D175"/>
    <mergeCell ref="E173:E181"/>
    <mergeCell ref="D179:D181"/>
    <mergeCell ref="C185:C187"/>
    <mergeCell ref="D185:D187"/>
    <mergeCell ref="B179:B181"/>
    <mergeCell ref="C179:C181"/>
    <mergeCell ref="B182:B184"/>
    <mergeCell ref="C182:C184"/>
    <mergeCell ref="D182:D184"/>
    <mergeCell ref="E182:E187"/>
    <mergeCell ref="B185:B187"/>
    <mergeCell ref="C131:C133"/>
    <mergeCell ref="D131:D133"/>
    <mergeCell ref="B125:B127"/>
    <mergeCell ref="C125:C127"/>
    <mergeCell ref="D125:D127"/>
    <mergeCell ref="B128:B130"/>
    <mergeCell ref="C128:C130"/>
    <mergeCell ref="D128:D130"/>
    <mergeCell ref="B131:B133"/>
    <mergeCell ref="B161:B163"/>
    <mergeCell ref="C161:C163"/>
    <mergeCell ref="B158:B160"/>
    <mergeCell ref="B164:B166"/>
    <mergeCell ref="C164:C166"/>
    <mergeCell ref="D164:D166"/>
    <mergeCell ref="B167:B169"/>
    <mergeCell ref="C167:C169"/>
    <mergeCell ref="B173:B175"/>
    <mergeCell ref="B176:B178"/>
    <mergeCell ref="F180:G180"/>
    <mergeCell ref="F181:G181"/>
    <mergeCell ref="F182:G182"/>
    <mergeCell ref="H182:H184"/>
    <mergeCell ref="I182:I184"/>
    <mergeCell ref="J182:J184"/>
    <mergeCell ref="K182:K184"/>
    <mergeCell ref="F183:G183"/>
    <mergeCell ref="F184:G184"/>
    <mergeCell ref="F185:G185"/>
    <mergeCell ref="H185:H187"/>
    <mergeCell ref="I185:I187"/>
    <mergeCell ref="J185:J187"/>
    <mergeCell ref="K185:K187"/>
    <mergeCell ref="F144:G144"/>
    <mergeCell ref="F145:G145"/>
    <mergeCell ref="F146:G146"/>
    <mergeCell ref="H146:H148"/>
    <mergeCell ref="I146:I148"/>
    <mergeCell ref="J146:J148"/>
    <mergeCell ref="K146:K148"/>
    <mergeCell ref="F147:G147"/>
    <mergeCell ref="F148:G148"/>
    <mergeCell ref="F155:G155"/>
    <mergeCell ref="H155:H157"/>
    <mergeCell ref="I155:I157"/>
    <mergeCell ref="J155:J157"/>
    <mergeCell ref="K155:K157"/>
    <mergeCell ref="F156:G156"/>
    <mergeCell ref="F157:G157"/>
    <mergeCell ref="F158:G158"/>
    <mergeCell ref="H158:H160"/>
    <mergeCell ref="I158:I160"/>
    <mergeCell ref="J158:J160"/>
    <mergeCell ref="K158:K160"/>
    <mergeCell ref="F159:G159"/>
    <mergeCell ref="F160:G160"/>
    <mergeCell ref="F161:G161"/>
    <mergeCell ref="H161:H163"/>
    <mergeCell ref="I161:I163"/>
    <mergeCell ref="J161:J163"/>
    <mergeCell ref="K161:K163"/>
    <mergeCell ref="F162:G162"/>
    <mergeCell ref="F163:G163"/>
    <mergeCell ref="F164:G164"/>
    <mergeCell ref="H164:H166"/>
    <mergeCell ref="I164:I166"/>
    <mergeCell ref="J164:J166"/>
    <mergeCell ref="K164:K166"/>
    <mergeCell ref="F165:G165"/>
    <mergeCell ref="F166:G166"/>
    <mergeCell ref="F167:G167"/>
    <mergeCell ref="H167:H169"/>
    <mergeCell ref="I167:I169"/>
    <mergeCell ref="J167:J169"/>
    <mergeCell ref="K167:K169"/>
    <mergeCell ref="F186:G186"/>
    <mergeCell ref="F187:G187"/>
  </mergeCells>
  <conditionalFormatting sqref="L194:M194">
    <cfRule type="cellIs" dxfId="0" priority="1" operator="greaterThanOrEqual">
      <formula>6.791</formula>
    </cfRule>
  </conditionalFormatting>
  <conditionalFormatting sqref="L194:M194">
    <cfRule type="cellIs" dxfId="1" priority="2" operator="between">
      <formula>3.581</formula>
      <formula>6.79</formula>
    </cfRule>
  </conditionalFormatting>
  <conditionalFormatting sqref="L194:M194">
    <cfRule type="cellIs" dxfId="2" priority="3" operator="lessThanOrEqual">
      <formula>3.58</formula>
    </cfRule>
  </conditionalFormatting>
  <conditionalFormatting sqref="L195:M195">
    <cfRule type="containsText" dxfId="0" priority="4" operator="containsText" text="HIGH RISK">
      <formula>NOT(ISERROR(SEARCH(("HIGH RISK"),(L195))))</formula>
    </cfRule>
  </conditionalFormatting>
  <conditionalFormatting sqref="L195:M195">
    <cfRule type="containsText" dxfId="1" priority="5" operator="containsText" text="MODERATE RISK">
      <formula>NOT(ISERROR(SEARCH(("MODERATE RISK"),(L195))))</formula>
    </cfRule>
  </conditionalFormatting>
  <conditionalFormatting sqref="L195:M195">
    <cfRule type="containsText" dxfId="2" priority="6" operator="containsText" text="LOW RISK">
      <formula>NOT(ISERROR(SEARCH(("LOW RISK"),(L195))))</formula>
    </cfRule>
  </conditionalFormatting>
  <printOptions/>
  <pageMargins bottom="0.75" footer="0.0" header="0.0" left="0.25" right="0.25" top="0.75"/>
  <pageSetup fitToHeight="0" paperSize="9" orientation="landscape"/>
  <drawing r:id="rId1"/>
</worksheet>
</file>